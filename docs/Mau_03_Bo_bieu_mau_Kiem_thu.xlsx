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Review_SRS" sheetId="2" state="visible" r:id="rId2"/>
    <sheet xmlns:r="http://schemas.openxmlformats.org/officeDocument/2006/relationships" name="TC_Chuc_nang" sheetId="3" state="visible" r:id="rId3"/>
    <sheet xmlns:r="http://schemas.openxmlformats.org/officeDocument/2006/relationships" name="TC_Phi_chuc_nang" sheetId="4" state="visible" r:id="rId4"/>
    <sheet xmlns:r="http://schemas.openxmlformats.org/officeDocument/2006/relationships" name="Test_Log" sheetId="5" state="visible" r:id="rId5"/>
    <sheet xmlns:r="http://schemas.openxmlformats.org/officeDocument/2006/relationships" name="Bug_Report" sheetId="6" state="visible" r:id="rId6"/>
    <sheet xmlns:r="http://schemas.openxmlformats.org/officeDocument/2006/relationships" name="Tong_hop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rgb="FF1F2A5C"/>
      <sz val="14"/>
    </font>
    <font>
      <name val="Times New Roman"/>
      <charset val="1"/>
      <family val="0"/>
      <i val="1"/>
      <color rgb="FF595959"/>
      <sz val="12"/>
    </font>
    <font>
      <name val="Times New Roman"/>
      <charset val="1"/>
      <family val="0"/>
      <b val="1"/>
      <sz val="12"/>
    </font>
    <font>
      <name val="Times New Roman"/>
      <charset val="1"/>
      <family val="0"/>
      <sz val="12"/>
    </font>
    <font>
      <name val="Times New Roman"/>
      <charset val="1"/>
      <family val="0"/>
      <b val="1"/>
      <color rgb="FFFFFFFF"/>
      <sz val="12"/>
    </font>
    <font>
      <name val="Times New Roman"/>
      <charset val="1"/>
      <family val="0"/>
      <i val="1"/>
      <color rgb="FF7F7F7F"/>
      <sz val="12"/>
    </font>
  </fonts>
  <fills count="5">
    <fill>
      <patternFill/>
    </fill>
    <fill>
      <patternFill patternType="gray125"/>
    </fill>
    <fill>
      <patternFill patternType="solid">
        <fgColor rgb="FFEEF1F8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1F2A5C"/>
        <bgColor rgb="FF33333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3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3" borderId="2" applyAlignment="1" pivotButton="0" quotePrefix="0" xfId="0">
      <alignment horizontal="general" vertical="bottom"/>
    </xf>
    <xf numFmtId="0" fontId="0" fillId="0" borderId="4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Times New Roman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Times New Roman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8E1"/>
      <rgbColor rgb="FFEE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2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6" min="1" max="1"/>
    <col width="26" customWidth="1" style="16" min="2" max="4"/>
  </cols>
  <sheetData>
    <row r="1" ht="17.35" customHeight="1" s="17">
      <c r="A1" s="18" t="inlineStr">
        <is>
          <t>BỘ BIỂU MẪU KIỂM THỬ – VAI TESTER</t>
        </is>
      </c>
    </row>
    <row r="2" ht="15" customHeight="1" s="17">
      <c r="A2" s="19" t="inlineStr">
        <is>
          <t>Học phần Đánh giá hiệu năng · Dùng cho hệ thống của bạn cặp</t>
        </is>
      </c>
    </row>
    <row r="4" ht="15" customHeight="1" s="17">
      <c r="A4" s="20" t="inlineStr">
        <is>
          <t>Tester – Họ và tên</t>
        </is>
      </c>
      <c r="B4" s="21" t="inlineStr">
        <is>
          <t>Sinh viên B</t>
        </is>
      </c>
      <c r="C4" s="22" t="n"/>
      <c r="D4" s="22" t="n"/>
    </row>
    <row r="5" ht="15" customHeight="1" s="17">
      <c r="A5" s="20" t="inlineStr">
        <is>
          <t>Tester – MSSV</t>
        </is>
      </c>
      <c r="B5" s="21" t="inlineStr">
        <is>
          <t>SV20260002</t>
        </is>
      </c>
      <c r="C5" s="22" t="n"/>
      <c r="D5" s="22" t="n"/>
    </row>
    <row r="6" ht="15" customHeight="1" s="17">
      <c r="A6" s="20" t="inlineStr">
        <is>
          <t>Hệ thống được kiểm thử</t>
        </is>
      </c>
      <c r="B6" s="21" t="inlineStr">
        <is>
          <t>EventTick - Nền tảng Bán vé Sự kiện Trực tuyến</t>
        </is>
      </c>
      <c r="C6" s="22" t="n"/>
      <c r="D6" s="22" t="n"/>
    </row>
    <row r="7" ht="15" customHeight="1" s="17">
      <c r="A7" s="20" t="inlineStr">
        <is>
          <t>Chủ hệ thống – Họ tên, MSSV</t>
        </is>
      </c>
      <c r="B7" s="21" t="inlineStr">
        <is>
          <t>Lại Thị Thanh Xuân – 23110309</t>
        </is>
      </c>
      <c r="C7" s="22" t="n"/>
      <c r="D7" s="22" t="n"/>
    </row>
    <row r="8" ht="15" customHeight="1" s="17">
      <c r="A8" s="20" t="inlineStr">
        <is>
          <t>Link sản phẩm</t>
        </is>
      </c>
      <c r="B8" s="21" t="inlineStr">
        <is>
          <t>https://itick-platform.onrender.com/ (Local: http://127.0.0.1:8001)</t>
        </is>
      </c>
      <c r="C8" s="22" t="n"/>
      <c r="D8" s="22" t="n"/>
    </row>
    <row r="9" ht="15" customHeight="1" s="17">
      <c r="A9" s="20" t="inlineStr">
        <is>
          <t>Phiên bản SRS dùng làm căn cứ</t>
        </is>
      </c>
      <c r="B9" s="21" t="inlineStr">
        <is>
          <t>SRS v1.1 (đã chốt sau review)</t>
        </is>
      </c>
      <c r="C9" s="22" t="n"/>
      <c r="D9" s="22" t="n"/>
    </row>
    <row r="10" ht="15" customHeight="1" s="17">
      <c r="A10" s="20" t="inlineStr">
        <is>
          <t>Thời gian kiểm thử (từ – đến)</t>
        </is>
      </c>
      <c r="B10" s="21" t="inlineStr">
        <is>
          <t>15/10/2026 – 05/11/2026 (Tuần 5 – Tuần 13)</t>
        </is>
      </c>
      <c r="C10" s="22" t="n"/>
      <c r="D10" s="22" t="n"/>
    </row>
    <row r="11">
      <c r="A11" t="inlineStr">
        <is>
          <t>Thư mục Drive tài liệu &amp; Bug</t>
        </is>
      </c>
      <c r="B11" t="inlineStr">
        <is>
          <t>https://drive.google.com/drive/folders/1K9Mq0RubxVY5YOycdWN-DqwUO4dmS-kc?usp=sharing</t>
        </is>
      </c>
    </row>
    <row r="12" ht="15" customHeight="1" s="17">
      <c r="A12" s="23" t="inlineStr">
        <is>
          <t>CÁC SHEET TRONG FILE</t>
        </is>
      </c>
    </row>
    <row r="13" ht="30" customHeight="1" s="17">
      <c r="A13" s="20" t="inlineStr">
        <is>
          <t>Review_SRS</t>
        </is>
      </c>
      <c r="B13" s="24" t="inlineStr">
        <is>
          <t>Phiếu review SRS (tuần 5). Chủ hệ thống điền 2 cột phản hồi cuối.</t>
        </is>
      </c>
      <c r="C13" s="22" t="n"/>
      <c r="D13" s="25" t="n"/>
    </row>
    <row r="14" ht="30" customHeight="1" s="17">
      <c r="A14" s="20" t="inlineStr">
        <is>
          <t>TC_Chuc_nang</t>
        </is>
      </c>
      <c r="B14" s="24" t="inlineStr">
        <is>
          <t>Test case chức năng, luồng E2E và phân quyền. Tối thiểu 60 case, phủ hết chức năng và 3 luồng.</t>
        </is>
      </c>
      <c r="C14" s="22" t="n"/>
      <c r="D14" s="25" t="n"/>
    </row>
    <row r="15" ht="30" customHeight="1" s="17">
      <c r="A15" s="20" t="inlineStr">
        <is>
          <t>TC_Phi_chuc_nang</t>
        </is>
      </c>
      <c r="B15" s="24" t="inlineStr">
        <is>
          <t>Test case phi chức năng. Tối thiểu 10 case, phủ hết NFR trong SRS.</t>
        </is>
      </c>
      <c r="C15" s="22" t="n"/>
      <c r="D15" s="25" t="n"/>
    </row>
    <row r="16" ht="30" customHeight="1" s="17">
      <c r="A16" s="20" t="inlineStr">
        <is>
          <t>Test_Log</t>
        </is>
      </c>
      <c r="B16" s="24" t="inlineStr">
        <is>
          <t>Nhật ký mỗi phiên thực thi: thời gian, môi trường, phạm vi đã chạy, kết quả.</t>
        </is>
      </c>
      <c r="C16" s="22" t="n"/>
      <c r="D16" s="25" t="n"/>
    </row>
    <row r="17" ht="30" customHeight="1" s="17">
      <c r="A17" s="20" t="inlineStr">
        <is>
          <t>Bug_Report</t>
        </is>
      </c>
      <c r="B17" s="24" t="inlineStr">
        <is>
          <t>Danh sách lỗi. Mỗi lỗi ghi rõ 1 trong 5 loại: Functional, Visual, Content, Performance, Crash.</t>
        </is>
      </c>
      <c r="C17" s="22" t="n"/>
      <c r="D17" s="25" t="n"/>
    </row>
    <row r="18" ht="30" customHeight="1" s="17">
      <c r="A18" s="20" t="inlineStr">
        <is>
          <t>Tong_hop</t>
        </is>
      </c>
      <c r="B18" s="24" t="inlineStr">
        <is>
          <t>Tự tính số liệu để đưa vào Test Summary Report. Không cần điền.</t>
        </is>
      </c>
      <c r="C18" s="22" t="n"/>
      <c r="D18" s="25" t="n"/>
    </row>
    <row r="20" ht="15" customHeight="1" s="17">
      <c r="A20" s="19" t="inlineStr">
        <is>
          <t>Chú thích: ô nền vàng nhạt = sinh viên điền; dòng chữ xám nghiêng ở đầu mỗi bảng = VÍ DỤ, ghi đè hoặc xoá khi làm; cột có mũi tên = chọn từ danh sách.</t>
        </is>
      </c>
    </row>
  </sheetData>
  <mergeCells count="13">
    <mergeCell ref="B10:D10"/>
    <mergeCell ref="B5:D5"/>
    <mergeCell ref="B14:D14"/>
    <mergeCell ref="B8:D8"/>
    <mergeCell ref="B4:D4"/>
    <mergeCell ref="B17:D17"/>
    <mergeCell ref="B9:D9"/>
    <mergeCell ref="B13:D13"/>
    <mergeCell ref="B18:D18"/>
    <mergeCell ref="B15:D15"/>
    <mergeCell ref="B7:D7"/>
    <mergeCell ref="B6:D6"/>
    <mergeCell ref="B16:D1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.9" customWidth="1" style="16" min="1" max="1"/>
    <col width="25.3" customWidth="1" style="16" min="2" max="2"/>
    <col width="36.8" customWidth="1" style="16" min="3" max="3"/>
    <col width="39.1" customWidth="1" style="16" min="4" max="4"/>
    <col width="20.7" customWidth="1" style="16" min="5" max="5"/>
    <col width="12.61" customWidth="1" style="16" min="6" max="6"/>
    <col width="36.8" customWidth="1" style="16" min="7" max="7"/>
    <col width="20.7" customWidth="1" style="16" min="8" max="8"/>
    <col width="34.51" customWidth="1" style="16" min="9" max="9"/>
  </cols>
  <sheetData>
    <row r="1" ht="17.35" customHeight="1" s="17">
      <c r="A1" s="18" t="inlineStr">
        <is>
          <t>PHIẾU REVIEW SRS</t>
        </is>
      </c>
    </row>
    <row r="2" ht="15" customHeight="1" s="17">
      <c r="A2" s="19" t="inlineStr">
        <is>
          <t>Tester kiểm tra từng yêu cầu: rõ ràng? kiểm thử được? đầy đủ? nhất quán? Chủ hệ thống điền 2 cột cuối rồi cập nhật SRS.</t>
        </is>
      </c>
    </row>
    <row r="3" ht="15" customHeight="1" s="17">
      <c r="A3" s="19" t="inlineStr">
        <is>
          <t>Chú thích:  ô nền vàng nhạt = sinh viên điền;  dòng chữ xám nghiêng = VÍ DỤ, ghi đè hoặc xoá khi làm;  cột có mũi tên = chọn từ danh sách.</t>
        </is>
      </c>
    </row>
    <row r="4" ht="31.5" customHeight="1" s="17">
      <c r="A4" s="26" t="inlineStr">
        <is>
          <t>STT</t>
        </is>
      </c>
      <c r="B4" s="26" t="inlineStr">
        <is>
          <t>Vị trí trong SRS (mục / mã yêu cầu)</t>
        </is>
      </c>
      <c r="C4" s="26" t="inlineStr">
        <is>
          <t>Nội dung trích từ SRS</t>
        </is>
      </c>
      <c r="D4" s="26" t="inlineStr">
        <is>
          <t>Vấn đề phát hiện</t>
        </is>
      </c>
      <c r="E4" s="26" t="inlineStr">
        <is>
          <t>Loại vấn đề</t>
        </is>
      </c>
      <c r="F4" s="26" t="inlineStr">
        <is>
          <t>Mức độ</t>
        </is>
      </c>
      <c r="G4" s="26" t="inlineStr">
        <is>
          <t>Đề xuất sửa</t>
        </is>
      </c>
      <c r="H4" s="26" t="inlineStr">
        <is>
          <t>Phản hồi của chủ hệ thống</t>
        </is>
      </c>
      <c r="I4" s="26" t="inlineStr">
        <is>
          <t>Lý do / cách đã sửa</t>
        </is>
      </c>
    </row>
    <row r="5" ht="26.85" customHeight="1" s="17">
      <c r="A5" s="27" t="n">
        <v>1</v>
      </c>
      <c r="B5" s="27" t="inlineStr">
        <is>
          <t>FR-03 – Mô tả sự kiện</t>
        </is>
      </c>
      <c r="C5" s="27" t="inlineStr">
        <is>
          <t>"Mô tả sự kiện: Văn bản chi tiết giới thiệu nội dung sự kiện"</t>
        </is>
      </c>
      <c r="D5" s="27" t="inlineStr">
        <is>
          <t>Thiếu giới hạn độ dài tối đa (max_length), nguy cơ tràn bộ nhớ và vỡ layout giao diện khi nhập văn bản quá dài</t>
        </is>
      </c>
      <c r="E5" s="27" t="inlineStr">
        <is>
          <t>Thiếu</t>
        </is>
      </c>
      <c r="F5" s="27" t="inlineStr">
        <is>
          <t>Cao</t>
        </is>
      </c>
      <c r="G5" s="27" t="inlineStr">
        <is>
          <t>Quy định rõ độ dài tối đa từ 10 đến 5.000 ký tự UTF-8; hiển thị bộ đếm ký tự trên giao diện</t>
        </is>
      </c>
      <c r="H5" s="27" t="inlineStr">
        <is>
          <t>Chấp nhận</t>
        </is>
      </c>
      <c r="I5" s="27" t="inlineStr">
        <is>
          <t>Đã bổ sung ràng buộc max_length=5000 ký tự trong SRS v1.1 mục 3 (FR-03)</t>
        </is>
      </c>
    </row>
    <row r="6" ht="15" customHeight="1" s="17">
      <c r="A6" s="24" t="n">
        <v>2</v>
      </c>
      <c r="B6" s="24" t="inlineStr">
        <is>
          <t>FR-06 &amp; BR-02 – Tồn kho vé</t>
        </is>
      </c>
      <c r="C6" s="24" t="inlineStr">
        <is>
          <t>"Hệ thống kiểm tra số lượng vé còn lại và trừ tồn kho vé khả dụng"</t>
        </is>
      </c>
      <c r="D6" s="24" t="inlineStr">
        <is>
          <t>Mơ hồ về cơ chế xử lý tranh chấp tài nguyên (Concurrency / Race Condition) khi nhiều khách cùng mua những vé cuối</t>
        </is>
      </c>
      <c r="E6" s="24" t="inlineStr">
        <is>
          <t>Mơ hồ</t>
        </is>
      </c>
      <c r="F6" s="24" t="inlineStr">
        <is>
          <t>Cao</t>
        </is>
      </c>
      <c r="G6" s="24" t="inlineStr">
        <is>
          <t>Đặc tả rõ cơ chế Atomic Transaction / Database Locking (SELECT FOR UPDATE) để ngăn chặn bán âm kho (Overselling)</t>
        </is>
      </c>
      <c r="H6" s="24" t="inlineStr">
        <is>
          <t>Chấp nhận</t>
        </is>
      </c>
      <c r="I6" s="24" t="inlineStr">
        <is>
          <t>Đã bổ sung BR-02 và NFR-02 trong SRS v1.1: Bắt buộc dùng atomic locking tránh bán vượt vé</t>
        </is>
      </c>
    </row>
    <row r="7" ht="15" customHeight="1" s="17">
      <c r="A7" s="24" t="n">
        <v>3</v>
      </c>
      <c r="B7" s="24" t="inlineStr">
        <is>
          <t>FR-07 &amp; BR-03 – Mã giảm giá</t>
        </is>
      </c>
      <c r="C7" s="24" t="inlineStr">
        <is>
          <t>"Voucher giảm 20% tổng giá trị đơn hàng"</t>
        </is>
      </c>
      <c r="D7" s="24" t="inlineStr">
        <is>
          <t>Thiếu quy định về trần giảm giá tối đa (Max Discount Cap) khi giảm theo %, gây thất thoát doanh thu cho đơn hàng lớn</t>
        </is>
      </c>
      <c r="E7" s="24" t="inlineStr">
        <is>
          <t>Thiếu</t>
        </is>
      </c>
      <c r="F7" s="24" t="inlineStr">
        <is>
          <t>Cao</t>
        </is>
      </c>
      <c r="G7" s="24" t="inlineStr">
        <is>
          <t>Quy định rõ mọi voucher theo % bắt buộc có thuộc tính max_discount_cap (Ví dụ GIAM20 tối đa 150.000đ)</t>
        </is>
      </c>
      <c r="H7" s="24" t="inlineStr">
        <is>
          <t>Chấp nhận</t>
        </is>
      </c>
      <c r="I7" s="24" t="inlineStr">
        <is>
          <t>Đã bổ sung BR-03 trong SRS v1.1: Áp dụng trần giảm giá tối đa cho mọi voucher theo %</t>
        </is>
      </c>
    </row>
    <row r="8" ht="15" customHeight="1" s="17">
      <c r="A8" s="24" t="n">
        <v>4</v>
      </c>
      <c r="B8" s="24" t="inlineStr">
        <is>
          <t>FR-09 &amp; BR-05 – Hủy vé hoàn tiền</t>
        </is>
      </c>
      <c r="C8" s="24" t="inlineStr">
        <is>
          <t>"Hoàn 90% trước sự kiện &gt; 48h; hoàn 70% từ 24-48h; từ chối hủy &lt; 24h"</t>
        </is>
      </c>
      <c r="D8" s="24" t="inlineStr">
        <is>
          <t>Không quy định rõ độ chính xác thời gian (theo giây hay làm tròn giờ) và múi giờ hệ thống (UTC hay GMT+7)</t>
        </is>
      </c>
      <c r="E8" s="24" t="inlineStr">
        <is>
          <t>Không kiểm thử được</t>
        </is>
      </c>
      <c r="F8" s="24" t="inlineStr">
        <is>
          <t>Trung bình</t>
        </is>
      </c>
      <c r="G8" s="24" t="inlineStr">
        <is>
          <t>Quy định rõ thời gian đối chiếu là (start_time - cancellation_time), múi giờ Asia/Ho_Chi_Minh (GMT+7), tính đến từng giây</t>
        </is>
      </c>
      <c r="H8" s="24" t="inlineStr">
        <is>
          <t>Chấp nhận</t>
        </is>
      </c>
      <c r="I8" s="24" t="inlineStr">
        <is>
          <t>Đã bổ sung quy ước tính thời gian chi tiết theo GMT+7 trong SRS v1.1 mục 5 (BR-05)</t>
        </is>
      </c>
    </row>
    <row r="9" ht="15" customHeight="1" s="17">
      <c r="A9" s="24" t="n">
        <v>5</v>
      </c>
      <c r="B9" s="24" t="inlineStr">
        <is>
          <t>NFR-01 &amp; NFR-03 – Hiệu năng API</t>
        </is>
      </c>
      <c r="C9" s="24" t="inlineStr">
        <is>
          <t>"Thời gian phản hồi API &lt;= 500ms; Throughput &gt;= 50 req/s"</t>
        </is>
      </c>
      <c r="D9" s="24" t="inlineStr">
        <is>
          <t>Chưa nêu rõ cấu hình phần cứng tối thiểu của môi trường máy chủ thử nghiệm và băng thông mạng chuẩn</t>
        </is>
      </c>
      <c r="E9" s="24" t="inlineStr">
        <is>
          <t>Không kiểm thử được</t>
        </is>
      </c>
      <c r="F9" s="24" t="inlineStr">
        <is>
          <t>Trung bình</t>
        </is>
      </c>
      <c r="G9" s="24" t="inlineStr">
        <is>
          <t>Đặc tả cấu hình chuẩn máy chủ test: 2 vCPU, 4GB RAM, SSD, môi trường Localhost/LAN độ trễ &lt; 5ms</t>
        </is>
      </c>
      <c r="H9" s="24" t="inlineStr">
        <is>
          <t>Chấp nhận</t>
        </is>
      </c>
      <c r="I9" s="24" t="inlineStr">
        <is>
          <t>Đã bổ sung đặc tả môi trường đo kiểm chuẩn trong SRS v1.1 mục 7.1</t>
        </is>
      </c>
    </row>
    <row r="10" ht="15" customHeight="1" s="17">
      <c r="A10" s="24" t="n">
        <v>6</v>
      </c>
      <c r="B10" s="24" t="inlineStr">
        <is>
          <t>FR-12 &amp; BR-04 – Cổng soát vé</t>
        </is>
      </c>
      <c r="C10" s="24" t="inlineStr">
        <is>
          <t>"Hệ thống xác thực mã vé và ghi nhận thời gian khách vào cổng"</t>
        </is>
      </c>
      <c r="D10" s="24" t="inlineStr">
        <is>
          <t>Mâu thuẫn logic: Chưa quy định hành vi khi nhân viên quét nhầm mã vé đã bị hủy (CANCELLED) hoặc vé hết hạn</t>
        </is>
      </c>
      <c r="E10" s="24" t="inlineStr">
        <is>
          <t>Mâu thuẫn</t>
        </is>
      </c>
      <c r="F10" s="24" t="inlineStr">
        <is>
          <t>Cao</t>
        </is>
      </c>
      <c r="G10" s="24" t="inlineStr">
        <is>
          <t>Bắt buộc từ chối check-in mọi vé có trạng thái khác ISSUED; nếu vé CANCELLED phải báo lỗi đỏ rõ ràng</t>
        </is>
      </c>
      <c r="H10" s="24" t="inlineStr">
        <is>
          <t>Chấp nhận</t>
        </is>
      </c>
      <c r="I10" s="24" t="inlineStr">
        <is>
          <t>Đã bổ sung BR-04 trong SRS v1.1: Tuyệt đối không cho phép check-in vé đã hủy/hết hạn</t>
        </is>
      </c>
    </row>
    <row r="11" ht="15" customHeight="1" s="17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</row>
    <row r="12" ht="15" customHeight="1" s="17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</row>
    <row r="13" ht="15" customHeight="1" s="17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</row>
    <row r="14" ht="15" customHeight="1" s="17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</row>
    <row r="15" ht="15" customHeight="1" s="17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</row>
    <row r="16" ht="15" customHeight="1" s="17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</row>
    <row r="17" ht="15" customHeight="1" s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</row>
    <row r="18" ht="15" customHeight="1" s="17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</row>
    <row r="19" ht="15" customHeight="1" s="17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</row>
    <row r="20" ht="15" customHeight="1" s="17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</row>
    <row r="21" ht="15" customHeight="1" s="17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</row>
    <row r="22" ht="15" customHeight="1" s="17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</row>
    <row r="23" ht="15" customHeight="1" s="17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</row>
    <row r="24" ht="15" customHeight="1" s="17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</row>
    <row r="25" ht="15" customHeight="1" s="17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</row>
    <row r="26" ht="15" customHeight="1" s="17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</row>
    <row r="27" ht="15" customHeight="1" s="1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</row>
    <row r="28" ht="15" customHeight="1" s="17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</row>
    <row r="29" ht="15" customHeight="1" s="17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</row>
    <row r="30" ht="15" customHeight="1" s="17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</row>
    <row r="31" ht="15" customHeight="1" s="17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</row>
    <row r="32" ht="15" customHeight="1" s="17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  <row r="33" ht="15" customHeight="1" s="17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</row>
    <row r="34" ht="15" customHeight="1" s="17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</row>
    <row r="35" ht="15" customHeight="1" s="17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</row>
  </sheetData>
  <dataValidations count="3">
    <dataValidation sqref="E5:E500" showDropDown="0" showInputMessage="0" showErrorMessage="0" allowBlank="1" errorTitle="Giá trị không hợp lệ" error="Chọn giá trị trong danh sách" type="list" errorStyle="stop" operator="between">
      <formula1>"Mơ hồ,Không kiểm thử được,Thiếu,Mâu thuẫn,Sai / không khớp thực tế,Trình bày,Khác"</formula1>
      <formula2>0</formula2>
    </dataValidation>
    <dataValidation sqref="F5:F500" showDropDown="0" showInputMessage="0" showErrorMessage="0" allowBlank="1" errorTitle="Giá trị không hợp lệ" error="Chọn giá trị trong danh sách" type="list" errorStyle="stop" operator="between">
      <formula1>"Cao,Trung bình,Thấp"</formula1>
      <formula2>0</formula2>
    </dataValidation>
    <dataValidation sqref="H5:H500" showDropDown="0" showInputMessage="0" showErrorMessage="0" allowBlank="1" errorTitle="Giá trị không hợp lệ" error="Chọn giá trị trong danh sách" type="list" errorStyle="stop" operator="between">
      <formula1>"Chấp nhận,Không chấp nhận,Cần trao đổi thêm"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.1" customWidth="1" style="16" min="1" max="2"/>
    <col width="20.7" customWidth="1" style="16" min="3" max="3"/>
    <col width="34.51" customWidth="1" style="16" min="4" max="4"/>
    <col width="27.61" customWidth="1" style="16" min="5" max="5"/>
    <col width="25.3" customWidth="1" style="16" min="6" max="6"/>
    <col width="41.4" customWidth="1" style="16" min="7" max="7"/>
    <col width="36.8" customWidth="1" style="16" min="8" max="8"/>
    <col width="11.5" customWidth="1" style="16" min="9" max="9"/>
    <col width="12.61" customWidth="1" style="16" min="10" max="10"/>
    <col width="29.9" customWidth="1" style="16" min="11" max="11"/>
    <col width="12.61" customWidth="1" style="16" min="12" max="12"/>
    <col width="18.4" customWidth="1" style="16" min="13" max="13"/>
  </cols>
  <sheetData>
    <row r="1" ht="17.35" customHeight="1" s="17">
      <c r="A1" s="18" t="inlineStr">
        <is>
          <t>TEST CASE CHỨC NĂNG</t>
        </is>
      </c>
    </row>
    <row r="2" ht="15" customHeight="1" s="17">
      <c r="A2" s="19" t="inlineStr">
        <is>
          <t>Quy ước mã: TC-FRxx-nnn (chức năng) · TC-FLOWxx-nnn (luồng E2E) · TC-AUTHZ-nnn (phân quyền). Mỗi chức năng ≥ 3 case.</t>
        </is>
      </c>
    </row>
    <row r="3" ht="15" customHeight="1" s="17">
      <c r="A3" s="19" t="inlineStr">
        <is>
          <t>Chú thích:  ô nền vàng nhạt = sinh viên điền;  dòng chữ xám nghiêng = VÍ DỤ, ghi đè hoặc xoá khi làm;  cột có mũi tên = chọn từ danh sách.</t>
        </is>
      </c>
    </row>
    <row r="4" ht="31.5" customHeight="1" s="17">
      <c r="A4" s="26" t="inlineStr">
        <is>
          <t>TC ID</t>
        </is>
      </c>
      <c r="B4" s="26" t="inlineStr">
        <is>
          <t>Chức năng / Luồng</t>
        </is>
      </c>
      <c r="C4" s="26" t="inlineStr">
        <is>
          <t>Kỹ thuật thiết kế</t>
        </is>
      </c>
      <c r="D4" s="26" t="inlineStr">
        <is>
          <t>Tiêu đề</t>
        </is>
      </c>
      <c r="E4" s="26" t="inlineStr">
        <is>
          <t>Tiền điều kiện</t>
        </is>
      </c>
      <c r="F4" s="26" t="inlineStr">
        <is>
          <t>Dữ liệu thử</t>
        </is>
      </c>
      <c r="G4" s="26" t="inlineStr">
        <is>
          <t>Các bước thực hiện</t>
        </is>
      </c>
      <c r="H4" s="26" t="inlineStr">
        <is>
          <t>Kết quả mong đợi</t>
        </is>
      </c>
      <c r="I4" s="26" t="inlineStr">
        <is>
          <t>Độ ưu tiên</t>
        </is>
      </c>
      <c r="J4" s="26" t="inlineStr">
        <is>
          <t>Kết quả</t>
        </is>
      </c>
      <c r="K4" s="26" t="inlineStr">
        <is>
          <t>Kết quả thực tế (khi Fail)</t>
        </is>
      </c>
      <c r="L4" s="26" t="inlineStr">
        <is>
          <t>Bug ID</t>
        </is>
      </c>
      <c r="M4" s="26" t="inlineStr">
        <is>
          <t>Ghi chú</t>
        </is>
      </c>
    </row>
    <row r="5" ht="39.55" customHeight="1" s="17">
      <c r="A5" s="27" t="inlineStr">
        <is>
          <t>TC-FR01-001</t>
        </is>
      </c>
      <c r="B5" s="27" t="inlineStr">
        <is>
          <t>FR-01</t>
        </is>
      </c>
      <c r="C5" s="27" t="inlineStr">
        <is>
          <t>Phân hoạch tương đương (EP)</t>
        </is>
      </c>
      <c r="D5" s="27" t="inlineStr">
        <is>
          <t>Đăng nhập thành công với tài khoản hợp lệ</t>
        </is>
      </c>
      <c r="E5" s="27" t="inlineStr">
        <is>
          <t>Tài khoản attendee@eventtick.com đã tồn tại</t>
        </is>
      </c>
      <c r="F5" s="27" t="inlineStr">
        <is>
          <t>attendee@eventtick.com / att123</t>
        </is>
      </c>
      <c r="G5" s="27" t="inlineStr">
        <is>
          <t>1. Mở trang /login
2. Nhập email và mật khẩu
3. Bấm Đăng nhập</t>
        </is>
      </c>
      <c r="H5" s="27" t="inlineStr">
        <is>
          <t>Đăng nhập thành công, chuyển hướng về trang chủ, lưu JWT token</t>
        </is>
      </c>
      <c r="I5" s="27" t="inlineStr">
        <is>
          <t>High</t>
        </is>
      </c>
      <c r="J5" s="27" t="inlineStr">
        <is>
          <t>Pass</t>
        </is>
      </c>
      <c r="K5" s="27" t="inlineStr"/>
      <c r="L5" s="27" t="inlineStr"/>
      <c r="M5" s="27" t="inlineStr"/>
    </row>
    <row r="6" ht="15" customHeight="1" s="17">
      <c r="A6" s="24" t="inlineStr">
        <is>
          <t>TC-FR01-002</t>
        </is>
      </c>
      <c r="B6" s="24" t="inlineStr">
        <is>
          <t>FR-01</t>
        </is>
      </c>
      <c r="C6" s="24" t="inlineStr">
        <is>
          <t>Phân hoạch tương đương (EP)</t>
        </is>
      </c>
      <c r="D6" s="24" t="inlineStr">
        <is>
          <t>Đăng nhập thất bại với mật khẩu sai</t>
        </is>
      </c>
      <c r="E6" s="24" t="inlineStr">
        <is>
          <t>Tài khoản attendee@eventtick.com đã tồn tại</t>
        </is>
      </c>
      <c r="F6" s="24" t="inlineStr">
        <is>
          <t>attendee@eventtick.com / wrongpass</t>
        </is>
      </c>
      <c r="G6" s="24" t="inlineStr">
        <is>
          <t>1. Mở trang /login
2. Nhập email và mật khẩu sai
3. Bấm Đăng nhập</t>
        </is>
      </c>
      <c r="H6" s="24" t="inlineStr">
        <is>
          <t>Báo lỗi 401: Mật khẩu hoặc tài khoản không chính xác, không tạo phiên</t>
        </is>
      </c>
      <c r="I6" s="24" t="inlineStr">
        <is>
          <t>High</t>
        </is>
      </c>
      <c r="J6" s="24" t="inlineStr">
        <is>
          <t>Pass</t>
        </is>
      </c>
      <c r="K6" s="24" t="inlineStr"/>
      <c r="L6" s="24" t="inlineStr"/>
      <c r="M6" s="24" t="inlineStr"/>
    </row>
    <row r="7" ht="15" customHeight="1" s="17">
      <c r="A7" s="24" t="inlineStr">
        <is>
          <t>TC-FR01-003</t>
        </is>
      </c>
      <c r="B7" s="24" t="inlineStr">
        <is>
          <t>FR-01</t>
        </is>
      </c>
      <c r="C7" s="24" t="inlineStr">
        <is>
          <t>Bảng quyết định</t>
        </is>
      </c>
      <c r="D7" s="24" t="inlineStr">
        <is>
          <t>Đăng ký tài khoản với email đã được sử dụng</t>
        </is>
      </c>
      <c r="E7" s="24" t="inlineStr">
        <is>
          <t>Email attendee@eventtick.com đã được đăng ký</t>
        </is>
      </c>
      <c r="F7" s="24" t="inlineStr">
        <is>
          <t>attendee@eventtick.com / pass12345</t>
        </is>
      </c>
      <c r="G7" s="24" t="inlineStr">
        <is>
          <t>1. Mở trang /register
2. Nhập thông tin với email trùng
3. Bấm Đăng ký</t>
        </is>
      </c>
      <c r="H7" s="24" t="inlineStr">
        <is>
          <t>Báo lỗi 400: Email đã tồn tại trên hệ thống, yêu cầu dùng email khác</t>
        </is>
      </c>
      <c r="I7" s="24" t="inlineStr">
        <is>
          <t>Medium</t>
        </is>
      </c>
      <c r="J7" s="24" t="inlineStr">
        <is>
          <t>Pass</t>
        </is>
      </c>
      <c r="K7" s="24" t="inlineStr"/>
      <c r="L7" s="24" t="inlineStr"/>
      <c r="M7" s="24" t="inlineStr"/>
    </row>
    <row r="8" ht="15" customHeight="1" s="17">
      <c r="A8" s="24" t="inlineStr">
        <is>
          <t>TC-FR01-004</t>
        </is>
      </c>
      <c r="B8" s="24" t="inlineStr">
        <is>
          <t>FR-01</t>
        </is>
      </c>
      <c r="C8" s="24" t="inlineStr">
        <is>
          <t>Giá trị biên (BVA)</t>
        </is>
      </c>
      <c r="D8" s="24" t="inlineStr">
        <is>
          <t>Đăng ký tài khoản với mật khẩu ngắn 5 ký tự (dưới biên 6)</t>
        </is>
      </c>
      <c r="E8" s="24" t="inlineStr">
        <is>
          <t>Chưa đăng nhập</t>
        </is>
      </c>
      <c r="F8" s="24" t="inlineStr">
        <is>
          <t>Email mới, Mật khẩu: '12345'</t>
        </is>
      </c>
      <c r="G8" s="24" t="inlineStr">
        <is>
          <t>1. Mở trang /register
2. Nhập mật khẩu 5 ký tự
3. Bấm Đăng ký</t>
        </is>
      </c>
      <c r="H8" s="24" t="inlineStr">
        <is>
          <t>Báo lỗi validation: Mật khẩu tối thiểu từ 6 ký tự trở lên</t>
        </is>
      </c>
      <c r="I8" s="24" t="inlineStr">
        <is>
          <t>Medium</t>
        </is>
      </c>
      <c r="J8" s="24" t="inlineStr">
        <is>
          <t>Pass</t>
        </is>
      </c>
      <c r="K8" s="24" t="inlineStr"/>
      <c r="L8" s="24" t="inlineStr"/>
      <c r="M8" s="24" t="inlineStr"/>
    </row>
    <row r="9" ht="15" customHeight="1" s="17">
      <c r="A9" s="24" t="inlineStr">
        <is>
          <t>TC-FR02-001</t>
        </is>
      </c>
      <c r="B9" s="24" t="inlineStr">
        <is>
          <t>FR-02</t>
        </is>
      </c>
      <c r="C9" s="24" t="inlineStr">
        <is>
          <t>Phân hoạch tương đương (EP)</t>
        </is>
      </c>
      <c r="D9" s="24" t="inlineStr">
        <is>
          <t>Xem thông tin cá nhân và số dư ví nội bộ</t>
        </is>
      </c>
      <c r="E9" s="24" t="inlineStr">
        <is>
          <t>Đã đăng nhập tài khoản Khách</t>
        </is>
      </c>
      <c r="F9" s="24" t="inlineStr">
        <is>
          <t>User ID 3</t>
        </is>
      </c>
      <c r="G9" s="24" t="inlineStr">
        <is>
          <t>1. Mở trang /profile
2. Kiểm tra số dư ví và thông tin hiển thị</t>
        </is>
      </c>
      <c r="H9" s="24" t="inlineStr">
        <is>
          <t>Hiển thị chính xác họ tên, email, số điện thoại và số dư ví</t>
        </is>
      </c>
      <c r="I9" s="24" t="inlineStr">
        <is>
          <t>Medium</t>
        </is>
      </c>
      <c r="J9" s="24" t="inlineStr">
        <is>
          <t>Pass</t>
        </is>
      </c>
      <c r="K9" s="24" t="inlineStr"/>
      <c r="L9" s="24" t="inlineStr"/>
      <c r="M9" s="24" t="inlineStr"/>
    </row>
    <row r="10" ht="15" customHeight="1" s="17">
      <c r="A10" s="24" t="inlineStr">
        <is>
          <t>TC-FR02-002</t>
        </is>
      </c>
      <c r="B10" s="24" t="inlineStr">
        <is>
          <t>FR-02</t>
        </is>
      </c>
      <c r="C10" s="24" t="inlineStr">
        <is>
          <t>Phân hoạch tương đương (EP)</t>
        </is>
      </c>
      <c r="D10" s="24" t="inlineStr">
        <is>
          <t>Nạp tiền vào ví với số tiền hợp lệ 500.000đ</t>
        </is>
      </c>
      <c r="E10" s="24" t="inlineStr">
        <is>
          <t>Đã đăng nhập tài khoản Khách</t>
        </is>
      </c>
      <c r="F10" s="24" t="inlineStr">
        <is>
          <t>Số tiền nạp: 500000</t>
        </is>
      </c>
      <c r="G10" s="24" t="inlineStr">
        <is>
          <t>1. Mở trang /wallet
2. Nhập 500.000đ
3. Bấm Nạp tiền</t>
        </is>
      </c>
      <c r="H10" s="24" t="inlineStr">
        <is>
          <t>Số dư ví tăng thêm 500.000đ, tạo bản ghi lịch sử nạp tiền</t>
        </is>
      </c>
      <c r="I10" s="24" t="inlineStr">
        <is>
          <t>High</t>
        </is>
      </c>
      <c r="J10" s="24" t="inlineStr">
        <is>
          <t>Pass</t>
        </is>
      </c>
      <c r="K10" s="24" t="inlineStr"/>
      <c r="L10" s="24" t="inlineStr"/>
      <c r="M10" s="24" t="inlineStr"/>
    </row>
    <row r="11" ht="15" customHeight="1" s="17">
      <c r="A11" s="24" t="inlineStr">
        <is>
          <t>TC-FR02-003</t>
        </is>
      </c>
      <c r="B11" s="24" t="inlineStr">
        <is>
          <t>FR-02</t>
        </is>
      </c>
      <c r="C11" s="24" t="inlineStr">
        <is>
          <t>Giá trị biên (BVA)</t>
        </is>
      </c>
      <c r="D11" s="24" t="inlineStr">
        <is>
          <t>Nạp tiền vào ví với số tiền = 0đ (biên dưới)</t>
        </is>
      </c>
      <c r="E11" s="24" t="inlineStr">
        <is>
          <t>Đã đăng nhập tài khoản Khách</t>
        </is>
      </c>
      <c r="F11" s="24" t="inlineStr">
        <is>
          <t>Số tiền nạp: 0</t>
        </is>
      </c>
      <c r="G11" s="24" t="inlineStr">
        <is>
          <t>1. Mở trang /wallet
2. Nhập số tiền 0đ
3. Bấm Nạp tiền</t>
        </is>
      </c>
      <c r="H11" s="24" t="inlineStr">
        <is>
          <t>Báo lỗi: Số tiền nạp phải lớn hơn 10.000đ, không đổi số dư</t>
        </is>
      </c>
      <c r="I11" s="24" t="inlineStr">
        <is>
          <t>Medium</t>
        </is>
      </c>
      <c r="J11" s="24" t="inlineStr">
        <is>
          <t>Pass</t>
        </is>
      </c>
      <c r="K11" s="24" t="inlineStr"/>
      <c r="L11" s="24" t="inlineStr"/>
      <c r="M11" s="24" t="inlineStr"/>
    </row>
    <row r="12" ht="15" customHeight="1" s="17">
      <c r="A12" s="24" t="inlineStr">
        <is>
          <t>TC-FR02-004</t>
        </is>
      </c>
      <c r="B12" s="24" t="inlineStr">
        <is>
          <t>FR-02</t>
        </is>
      </c>
      <c r="C12" s="24" t="inlineStr">
        <is>
          <t>Phân hoạch tương đương (EP)</t>
        </is>
      </c>
      <c r="D12" s="24" t="inlineStr">
        <is>
          <t>Cập nhật email hồ sơ không có ký tự @</t>
        </is>
      </c>
      <c r="E12" s="24" t="inlineStr">
        <is>
          <t>Đã đăng nhập tài khoản Khách</t>
        </is>
      </c>
      <c r="F12" s="24" t="inlineStr">
        <is>
          <t>email: 'testemail.com'</t>
        </is>
      </c>
      <c r="G12" s="24" t="inlineStr">
        <is>
          <t>1. Mở trang /profile
2. Nhập email 'testemail.com'
3. Bấm Lưu</t>
        </is>
      </c>
      <c r="H12" s="24" t="inlineStr">
        <is>
          <t>Báo lỗi định dạng email không hợp lệ</t>
        </is>
      </c>
      <c r="I12" s="24" t="inlineStr">
        <is>
          <t>Medium</t>
        </is>
      </c>
      <c r="J12" s="24" t="inlineStr">
        <is>
          <t>Fail</t>
        </is>
      </c>
      <c r="K12" s="24" t="inlineStr">
        <is>
          <t>Hệ thống chấp nhận cập nhật email sai cú pháp không có @</t>
        </is>
      </c>
      <c r="L12" s="24" t="inlineStr">
        <is>
          <t>BUG-016</t>
        </is>
      </c>
      <c r="M12" s="24" t="inlineStr">
        <is>
          <t>Lỗi phát hiện thêm ngoài Manifest</t>
        </is>
      </c>
    </row>
    <row r="13" ht="15" customHeight="1" s="17">
      <c r="A13" s="24" t="inlineStr">
        <is>
          <t>TC-FR03-001</t>
        </is>
      </c>
      <c r="B13" s="24" t="inlineStr">
        <is>
          <t>FR-03</t>
        </is>
      </c>
      <c r="C13" s="24" t="inlineStr">
        <is>
          <t>Phân hoạch tương đương (EP)</t>
        </is>
      </c>
      <c r="D13" s="24" t="inlineStr">
        <is>
          <t>Ban tổ chức tạo sự kiện mới đầy đủ thông tin hợp lệ</t>
        </is>
      </c>
      <c r="E13" s="24" t="inlineStr">
        <is>
          <t>Đã đăng nhập vai Ban tổ chức</t>
        </is>
      </c>
      <c r="F13" s="24" t="inlineStr">
        <is>
          <t>Tên sự kiện, thời gian, 2 hạng vé hợp lệ</t>
        </is>
      </c>
      <c r="G13" s="24" t="inlineStr">
        <is>
          <t>1. Mở /organizer/events/new
2. Nhập form
3. Bấm Lưu sự kiện</t>
        </is>
      </c>
      <c r="H13" s="24" t="inlineStr">
        <is>
          <t>Tạo sự kiện thành công ở trạng thái DRAFT hoặc PENDING</t>
        </is>
      </c>
      <c r="I13" s="24" t="inlineStr">
        <is>
          <t>High</t>
        </is>
      </c>
      <c r="J13" s="24" t="inlineStr">
        <is>
          <t>Pass</t>
        </is>
      </c>
      <c r="K13" s="24" t="inlineStr"/>
      <c r="L13" s="24" t="inlineStr"/>
      <c r="M13" s="24" t="inlineStr"/>
    </row>
    <row r="14" ht="15" customHeight="1" s="17">
      <c r="A14" s="24" t="inlineStr">
        <is>
          <t>TC-FR03-002</t>
        </is>
      </c>
      <c r="B14" s="24" t="inlineStr">
        <is>
          <t>FR-03</t>
        </is>
      </c>
      <c r="C14" s="24" t="inlineStr">
        <is>
          <t>Bảng quyết định</t>
        </is>
      </c>
      <c r="D14" s="24" t="inlineStr">
        <is>
          <t>Tạo sự kiện với thời gian bắt đầu trong quá khứ</t>
        </is>
      </c>
      <c r="E14" s="24" t="inlineStr">
        <is>
          <t>Đã đăng nhập vai Ban tổ chức</t>
        </is>
      </c>
      <c r="F14" s="24" t="inlineStr">
        <is>
          <t>start_time nhỏ hơn thời điểm hiện tại</t>
        </is>
      </c>
      <c r="G14" s="24" t="inlineStr">
        <is>
          <t>1. Mở form tạo sự kiện
2. Chọn ngày bắt đầu hôm qua
3. Bấm Lưu</t>
        </is>
      </c>
      <c r="H14" s="24" t="inlineStr">
        <is>
          <t>Báo lỗi: Thời gian bắt đầu sự kiện phải ở tương lai</t>
        </is>
      </c>
      <c r="I14" s="24" t="inlineStr">
        <is>
          <t>High</t>
        </is>
      </c>
      <c r="J14" s="24" t="inlineStr">
        <is>
          <t>Pass</t>
        </is>
      </c>
      <c r="K14" s="24" t="inlineStr"/>
      <c r="L14" s="24" t="inlineStr"/>
      <c r="M14" s="24" t="inlineStr"/>
    </row>
    <row r="15" ht="15" customHeight="1" s="17">
      <c r="A15" s="24" t="inlineStr">
        <is>
          <t>TC-FR03-003</t>
        </is>
      </c>
      <c r="B15" s="24" t="inlineStr">
        <is>
          <t>FR-03</t>
        </is>
      </c>
      <c r="C15" s="24" t="inlineStr">
        <is>
          <t>Giá trị biên (BVA)</t>
        </is>
      </c>
      <c r="D15" s="24" t="inlineStr">
        <is>
          <t>Tạo sự kiện với mô tả vượt quá 5.000 ký tự</t>
        </is>
      </c>
      <c r="E15" s="24" t="inlineStr">
        <is>
          <t>Đã đăng nhập vai Ban tổ chức</t>
        </is>
      </c>
      <c r="F15" s="24" t="inlineStr">
        <is>
          <t>Mô tả gồm 5.500 ký tự UTF-8</t>
        </is>
      </c>
      <c r="G15" s="24" t="inlineStr">
        <is>
          <t>1. Nhập mô tả 5.500 ký tự
2. Bấm Lưu sự kiện</t>
        </is>
      </c>
      <c r="H15" s="24" t="inlineStr">
        <is>
          <t>Báo lỗi độ dài mô tả tối đa 5.000 ký tự</t>
        </is>
      </c>
      <c r="I15" s="24" t="inlineStr">
        <is>
          <t>Medium</t>
        </is>
      </c>
      <c r="J15" s="24" t="inlineStr">
        <is>
          <t>Pass</t>
        </is>
      </c>
      <c r="K15" s="24" t="inlineStr"/>
      <c r="L15" s="24" t="inlineStr"/>
      <c r="M15" s="24" t="inlineStr"/>
    </row>
    <row r="16" ht="15" customHeight="1" s="17">
      <c r="A16" s="24" t="inlineStr">
        <is>
          <t>TC-FR03-004</t>
        </is>
      </c>
      <c r="B16" s="24" t="inlineStr">
        <is>
          <t>FR-03</t>
        </is>
      </c>
      <c r="C16" s="24" t="inlineStr">
        <is>
          <t>Chuyển trạng thái</t>
        </is>
      </c>
      <c r="D16" s="24" t="inlineStr">
        <is>
          <t>Chỉnh sửa sự kiện đang ở trạng thái DRAFT</t>
        </is>
      </c>
      <c r="E16" s="24" t="inlineStr">
        <is>
          <t>Sự kiện có status == DRAFT</t>
        </is>
      </c>
      <c r="F16" s="24" t="inlineStr">
        <is>
          <t>Cập nhật tiêu đề mới</t>
        </is>
      </c>
      <c r="G16" s="24" t="inlineStr">
        <is>
          <t>1. Mở sửa sự kiện DRAFT
2. Thay đổi tên
3. Bấm Cập nhật</t>
        </is>
      </c>
      <c r="H16" s="24" t="inlineStr">
        <is>
          <t>Cập nhật thành công, trạng thái vẫn giữ DRAFT</t>
        </is>
      </c>
      <c r="I16" s="24" t="inlineStr">
        <is>
          <t>Medium</t>
        </is>
      </c>
      <c r="J16" s="24" t="inlineStr">
        <is>
          <t>Pass</t>
        </is>
      </c>
      <c r="K16" s="24" t="inlineStr"/>
      <c r="L16" s="24" t="inlineStr"/>
      <c r="M16" s="24" t="inlineStr"/>
    </row>
    <row r="17" ht="15" customHeight="1" s="17">
      <c r="A17" s="24" t="inlineStr">
        <is>
          <t>TC-FR04-001</t>
        </is>
      </c>
      <c r="B17" s="24" t="inlineStr">
        <is>
          <t>FR-04</t>
        </is>
      </c>
      <c r="C17" s="24" t="inlineStr">
        <is>
          <t>Phân hoạch tương đương (EP)</t>
        </is>
      </c>
      <c r="D17" s="24" t="inlineStr">
        <is>
          <t>Tìm kiếm sự kiện theo từ khóa chính xác</t>
        </is>
      </c>
      <c r="E17" s="24" t="inlineStr">
        <is>
          <t>Có sự kiện 'Đêm Nhạc Indie'</t>
        </is>
      </c>
      <c r="F17" s="24" t="inlineStr">
        <is>
          <t>keyword='Indie'</t>
        </is>
      </c>
      <c r="G17" s="24" t="inlineStr">
        <is>
          <t>1. Nhập 'Indie' vào ô tìm kiếm
2. Bấm Tìm</t>
        </is>
      </c>
      <c r="H17" s="24" t="inlineStr">
        <is>
          <t>Hiển thị danh sách sự kiện chứa từ khóa 'Indie'</t>
        </is>
      </c>
      <c r="I17" s="24" t="inlineStr">
        <is>
          <t>High</t>
        </is>
      </c>
      <c r="J17" s="24" t="inlineStr">
        <is>
          <t>Pass</t>
        </is>
      </c>
      <c r="K17" s="24" t="inlineStr"/>
      <c r="L17" s="24" t="inlineStr"/>
      <c r="M17" s="24" t="inlineStr"/>
    </row>
    <row r="18" ht="15" customHeight="1" s="17">
      <c r="A18" s="24" t="inlineStr">
        <is>
          <t>TC-FR04-002</t>
        </is>
      </c>
      <c r="B18" s="24" t="inlineStr">
        <is>
          <t>FR-04</t>
        </is>
      </c>
      <c r="C18" s="24" t="inlineStr">
        <is>
          <t>Phân hoạch tương đương (EP)</t>
        </is>
      </c>
      <c r="D18" s="24" t="inlineStr">
        <is>
          <t>Lọc sự kiện theo danh mục 'Âm nhạc'</t>
        </is>
      </c>
      <c r="E18" s="24" t="inlineStr">
        <is>
          <t>Đang ở trang chủ</t>
        </is>
      </c>
      <c r="F18" s="24" t="inlineStr">
        <is>
          <t>category='Music'</t>
        </is>
      </c>
      <c r="G18" s="24" t="inlineStr">
        <is>
          <t>1. Chọn tab/danh mục 'Âm nhạc'
2. Quan sát kết quả</t>
        </is>
      </c>
      <c r="H18" s="24" t="inlineStr">
        <is>
          <t>Chỉ hiển thị các sự kiện thuộc thể loại Âm nhạc</t>
        </is>
      </c>
      <c r="I18" s="24" t="inlineStr">
        <is>
          <t>Medium</t>
        </is>
      </c>
      <c r="J18" s="24" t="inlineStr">
        <is>
          <t>Pass</t>
        </is>
      </c>
      <c r="K18" s="24" t="inlineStr"/>
      <c r="L18" s="24" t="inlineStr"/>
      <c r="M18" s="24" t="inlineStr"/>
    </row>
    <row r="19" ht="15" customHeight="1" s="17">
      <c r="A19" s="24" t="inlineStr">
        <is>
          <t>TC-FR04-003</t>
        </is>
      </c>
      <c r="B19" s="24" t="inlineStr">
        <is>
          <t>FR-04</t>
        </is>
      </c>
      <c r="C19" s="24" t="inlineStr">
        <is>
          <t>Error guessing / Checklist</t>
        </is>
      </c>
      <c r="D19" s="24" t="inlineStr">
        <is>
          <t>Tìm kiếm sự kiện với từ khóa không tồn tại</t>
        </is>
      </c>
      <c r="E19" s="24" t="inlineStr">
        <is>
          <t>Đang ở trang chủ</t>
        </is>
      </c>
      <c r="F19" s="24" t="inlineStr">
        <is>
          <t>keyword='xyzqwerty123'</t>
        </is>
      </c>
      <c r="G19" s="24" t="inlineStr">
        <is>
          <t>1. Nhập từ khóa không có thật
2. Bấm Tìm</t>
        </is>
      </c>
      <c r="H19" s="24" t="inlineStr">
        <is>
          <t>Hiển thị thông báo tiếng Việt có dấu chuẩn: 'Không tìm thấy sự kiện nào phù hợp. Vui lòng thử lại!'</t>
        </is>
      </c>
      <c r="I19" s="24" t="inlineStr">
        <is>
          <t>Low</t>
        </is>
      </c>
      <c r="J19" s="24" t="inlineStr">
        <is>
          <t>Fail</t>
        </is>
      </c>
      <c r="K19" s="24" t="inlineStr">
        <is>
          <t>Hiển thị thông báo không dấu sai chính tả: 'Khong tim thay su kien nao phu hop. Xin vui long tim kiem lai!'</t>
        </is>
      </c>
      <c r="L19" s="24" t="inlineStr">
        <is>
          <t>BUG-009</t>
        </is>
      </c>
      <c r="M19" s="24" t="inlineStr"/>
    </row>
    <row r="20" ht="15" customHeight="1" s="17">
      <c r="A20" s="24" t="inlineStr">
        <is>
          <t>TC-FR04-004</t>
        </is>
      </c>
      <c r="B20" s="24" t="inlineStr">
        <is>
          <t>FR-04</t>
        </is>
      </c>
      <c r="C20" s="24" t="inlineStr">
        <is>
          <t>Giá trị biên (BVA)</t>
        </is>
      </c>
      <c r="D20" s="24" t="inlineStr">
        <is>
          <t>Phân trang danh sách sự kiện với query param limit=0</t>
        </is>
      </c>
      <c r="E20" s="24" t="inlineStr">
        <is>
          <t>Gọi API GET /api/events</t>
        </is>
      </c>
      <c r="F20" s="24" t="inlineStr">
        <is>
          <t>limit=0</t>
        </is>
      </c>
      <c r="G20" s="24" t="inlineStr">
        <is>
          <t>1. Gửi request GET /api/events?limit=0</t>
        </is>
      </c>
      <c r="H20" s="24" t="inlineStr">
        <is>
          <t>Trả về lỗi HTTP 400/422 tham số limit không hợp lệ</t>
        </is>
      </c>
      <c r="I20" s="24" t="inlineStr">
        <is>
          <t>High</t>
        </is>
      </c>
      <c r="J20" s="24" t="inlineStr">
        <is>
          <t>Fail</t>
        </is>
      </c>
      <c r="K20" s="24" t="inlineStr">
        <is>
          <t>Server văng lỗi ZeroDivisionError Crash HTTP 500</t>
        </is>
      </c>
      <c r="L20" s="24" t="inlineStr">
        <is>
          <t>BUG-015</t>
        </is>
      </c>
      <c r="M20" s="24" t="inlineStr"/>
    </row>
    <row r="21" ht="15" customHeight="1" s="17">
      <c r="A21" s="24" t="inlineStr">
        <is>
          <t>TC-FR04-005</t>
        </is>
      </c>
      <c r="B21" s="24" t="inlineStr">
        <is>
          <t>FR-04</t>
        </is>
      </c>
      <c r="C21" s="24" t="inlineStr">
        <is>
          <t>Giá trị biên (BVA)</t>
        </is>
      </c>
      <c r="D21" s="24" t="inlineStr">
        <is>
          <t>Hiển thị thẻ sự kiện có tiêu đề dài 150 ký tự</t>
        </is>
      </c>
      <c r="E21" s="24" t="inlineStr">
        <is>
          <t>Có sự kiện 3 với tiêu đề dài 150 ký tự</t>
        </is>
      </c>
      <c r="F21" s="24" t="inlineStr">
        <is>
          <t>Mở trang chủ</t>
        </is>
      </c>
      <c r="G21" s="24" t="inlineStr">
        <is>
          <t>1. Cuộn đến thẻ Sự kiện 3 trên trang chủ</t>
        </is>
      </c>
      <c r="H21" s="24" t="inlineStr">
        <is>
          <t>Tiêu đề áp dụng line-clamp 2 dòng, chiều cao thẻ đồng đều với lưới</t>
        </is>
      </c>
      <c r="I21" s="24" t="inlineStr">
        <is>
          <t>Low</t>
        </is>
      </c>
      <c r="J21" s="24" t="inlineStr">
        <is>
          <t>Fail</t>
        </is>
      </c>
      <c r="K21" s="24" t="inlineStr">
        <is>
          <t>Thẻ sự kiện bị phình to làm vỡ hàng hiển thị grid</t>
        </is>
      </c>
      <c r="L21" s="24" t="inlineStr">
        <is>
          <t>BUG-007</t>
        </is>
      </c>
      <c r="M21" s="24" t="inlineStr"/>
    </row>
    <row r="22" ht="15" customHeight="1" s="17">
      <c r="A22" s="24" t="inlineStr">
        <is>
          <t>TC-FR05-001</t>
        </is>
      </c>
      <c r="B22" s="24" t="inlineStr">
        <is>
          <t>FR-05</t>
        </is>
      </c>
      <c r="C22" s="24" t="inlineStr">
        <is>
          <t>Phân hoạch tương đương (EP)</t>
        </is>
      </c>
      <c r="D22" s="24" t="inlineStr">
        <is>
          <t>Xem thông tin chi tiết sự kiện đang mở bán</t>
        </is>
      </c>
      <c r="E22" s="24" t="inlineStr">
        <is>
          <t>Sự kiện có status == PUBLISHED</t>
        </is>
      </c>
      <c r="F22" s="24" t="inlineStr">
        <is>
          <t>Event ID 1</t>
        </is>
      </c>
      <c r="G22" s="24" t="inlineStr">
        <is>
          <t>1. Nhấp vào thẻ Sự kiện 1
2. Xem trang chi tiết</t>
        </is>
      </c>
      <c r="H22" s="24" t="inlineStr">
        <is>
          <t>Hiển thị đầy đủ thông tin: banner, thời gian, địa điểm, các hạng vé</t>
        </is>
      </c>
      <c r="I22" s="24" t="inlineStr">
        <is>
          <t>High</t>
        </is>
      </c>
      <c r="J22" s="24" t="inlineStr">
        <is>
          <t>Pass</t>
        </is>
      </c>
      <c r="K22" s="24" t="inlineStr"/>
      <c r="L22" s="24" t="inlineStr"/>
      <c r="M22" s="24" t="inlineStr"/>
    </row>
    <row r="23" ht="15" customHeight="1" s="17">
      <c r="A23" s="24" t="inlineStr">
        <is>
          <t>TC-FR05-002</t>
        </is>
      </c>
      <c r="B23" s="24" t="inlineStr">
        <is>
          <t>FR-05</t>
        </is>
      </c>
      <c r="C23" s="24" t="inlineStr">
        <is>
          <t>Bảng quyết định</t>
        </is>
      </c>
      <c r="D23" s="24" t="inlineStr">
        <is>
          <t>Chọn hạng vé còn chỗ để đặt mua</t>
        </is>
      </c>
      <c r="E23" s="24" t="inlineStr">
        <is>
          <t>Hạng vé GA còn 50 vé</t>
        </is>
      </c>
      <c r="F23" s="24" t="inlineStr">
        <is>
          <t>ticket_tier_id=1</t>
        </is>
      </c>
      <c r="G23" s="24" t="inlineStr">
        <is>
          <t>1. Bấm chọn Hạng vé GA
2. Chọn số lượng vé</t>
        </is>
      </c>
      <c r="H23" s="24" t="inlineStr">
        <is>
          <t>Hạng vé được highlight, cập nhật tổng số tiền tương ứng</t>
        </is>
      </c>
      <c r="I23" s="24" t="inlineStr">
        <is>
          <t>High</t>
        </is>
      </c>
      <c r="J23" s="24" t="inlineStr">
        <is>
          <t>Pass</t>
        </is>
      </c>
      <c r="K23" s="24" t="inlineStr"/>
      <c r="L23" s="24" t="inlineStr"/>
      <c r="M23" s="24" t="inlineStr"/>
    </row>
    <row r="24" ht="15" customHeight="1" s="17">
      <c r="A24" s="24" t="inlineStr">
        <is>
          <t>TC-FR05-003</t>
        </is>
      </c>
      <c r="B24" s="24" t="inlineStr">
        <is>
          <t>FR-05</t>
        </is>
      </c>
      <c r="C24" s="24" t="inlineStr">
        <is>
          <t>Bảng quyết định</t>
        </is>
      </c>
      <c r="D24" s="24" t="inlineStr">
        <is>
          <t>Chọn hạng vé đã hết chỗ (available_quantity == 0)</t>
        </is>
      </c>
      <c r="E24" s="24" t="inlineStr">
        <is>
          <t>Hạng vé VIP Sự kiện 2 đã hết vé</t>
        </is>
      </c>
      <c r="F24" s="24" t="inlineStr">
        <is>
          <t>ticket_tier_id có số lượng = 0</t>
        </is>
      </c>
      <c r="G24" s="24" t="inlineStr">
        <is>
          <t>1. Mở trang chi tiết Sự kiện 2
2. Quan sát nút chọn hạng vé hết chỗ</t>
        </is>
      </c>
      <c r="H24" s="24" t="inlineStr">
        <is>
          <t>Nút chọn bị vô hiệu hóa (disabled), hiển thị nhãn 'Hết vé', không bấm được</t>
        </is>
      </c>
      <c r="I24" s="24" t="inlineStr">
        <is>
          <t>Medium</t>
        </is>
      </c>
      <c r="J24" s="24" t="inlineStr">
        <is>
          <t>Fail</t>
        </is>
      </c>
      <c r="K24" s="24" t="inlineStr">
        <is>
          <t>Nút chọn vẫn sáng màu Indigo và bấm chọn được</t>
        </is>
      </c>
      <c r="L24" s="24" t="inlineStr">
        <is>
          <t>BUG-006</t>
        </is>
      </c>
      <c r="M24" s="24" t="inlineStr"/>
    </row>
    <row r="25" ht="15" customHeight="1" s="17">
      <c r="A25" s="24" t="inlineStr">
        <is>
          <t>TC-FR05-004</t>
        </is>
      </c>
      <c r="B25" s="24" t="inlineStr">
        <is>
          <t>FR-05</t>
        </is>
      </c>
      <c r="C25" s="24" t="inlineStr">
        <is>
          <t>Error guessing / Checklist</t>
        </is>
      </c>
      <c r="D25" s="24" t="inlineStr">
        <is>
          <t>Kiểm tra banner thông tin chính sách hoàn hủy vé</t>
        </is>
      </c>
      <c r="E25" s="24" t="inlineStr">
        <is>
          <t>Đang ở trang chi tiết sự kiện</t>
        </is>
      </c>
      <c r="F25" s="24" t="inlineStr">
        <is>
          <t>Banner chính sách</t>
        </is>
      </c>
      <c r="G25" s="24" t="inlineStr">
        <is>
          <t>1. Quan sát banner chính sách hoàn hủy</t>
        </is>
      </c>
      <c r="H25" s="24" t="inlineStr">
        <is>
          <t>Nội dung banner khớp SRS: 'Hoàn 90% trước 48h, hoàn 70% từ 24-48h, không hoàn dưới 24h'</t>
        </is>
      </c>
      <c r="I25" s="24" t="inlineStr">
        <is>
          <t>Low</t>
        </is>
      </c>
      <c r="J25" s="24" t="inlineStr">
        <is>
          <t>Fail</t>
        </is>
      </c>
      <c r="K25" s="24" t="inlineStr">
        <is>
          <t>Banner hiển thị mâu thuẫn: 'Chính sách: Hoàn 100% nếu hủy trước 1 ngày'</t>
        </is>
      </c>
      <c r="L25" s="24" t="inlineStr">
        <is>
          <t>BUG-011</t>
        </is>
      </c>
      <c r="M25" s="24" t="inlineStr"/>
    </row>
    <row r="26" ht="15" customHeight="1" s="17">
      <c r="A26" s="24" t="inlineStr">
        <is>
          <t>TC-FR05-005</t>
        </is>
      </c>
      <c r="B26" s="24" t="inlineStr">
        <is>
          <t>FR-05</t>
        </is>
      </c>
      <c r="C26" s="24" t="inlineStr">
        <is>
          <t>Exploratory</t>
        </is>
      </c>
      <c r="D26" s="24" t="inlineStr">
        <is>
          <t>Kiểm tra dung lượng file ảnh banner sự kiện</t>
        </is>
      </c>
      <c r="E26" s="24" t="inlineStr">
        <is>
          <t>Đang ở trang chi tiết sự kiện 1</t>
        </is>
      </c>
      <c r="F26" s="24" t="inlineStr">
        <is>
          <t>Kiểm tra tab Network DevTools</t>
        </is>
      </c>
      <c r="G26" s="24" t="inlineStr">
        <is>
          <t>1. Mở DevTools Network
2. Tải trang chi tiết sự kiện</t>
        </is>
      </c>
      <c r="H26" s="24" t="inlineStr">
        <is>
          <t>Ảnh banner dung lượng tối ưu &lt; 500KB</t>
        </is>
      </c>
      <c r="I26" s="24" t="inlineStr">
        <is>
          <t>Medium</t>
        </is>
      </c>
      <c r="J26" s="24" t="inlineStr">
        <is>
          <t>Fail</t>
        </is>
      </c>
      <c r="K26" s="24" t="inlineStr">
        <is>
          <t>Banner tải ảnh mock dung lượng lên tới 12MB không nén gây lag</t>
        </is>
      </c>
      <c r="L26" s="24" t="inlineStr">
        <is>
          <t>BUG-013</t>
        </is>
      </c>
      <c r="M26" s="24" t="inlineStr"/>
    </row>
    <row r="27" ht="15" customHeight="1" s="17">
      <c r="A27" s="24" t="inlineStr">
        <is>
          <t>TC-FR06-001</t>
        </is>
      </c>
      <c r="B27" s="24" t="inlineStr">
        <is>
          <t>FR-06</t>
        </is>
      </c>
      <c r="C27" s="24" t="inlineStr">
        <is>
          <t>Phân hoạch tương đương (EP)</t>
        </is>
      </c>
      <c r="D27" s="24" t="inlineStr">
        <is>
          <t>Đặt vé với số lượng hợp lệ = 2 vé</t>
        </is>
      </c>
      <c r="E27" s="24" t="inlineStr">
        <is>
          <t>Đã đăng nhập, hạng vé còn đủ chỗ</t>
        </is>
      </c>
      <c r="F27" s="24" t="inlineStr">
        <is>
          <t>quantity = 2</t>
        </is>
      </c>
      <c r="G27" s="24" t="inlineStr">
        <is>
          <t>1. Chọn hạng vé
2. Chọn số lượng 2
3. Bấm Đặt vé</t>
        </is>
      </c>
      <c r="H27" s="24" t="inlineStr">
        <is>
          <t>Tạo đơn hàng thành công, trừ tồn kho 2 vé</t>
        </is>
      </c>
      <c r="I27" s="24" t="inlineStr">
        <is>
          <t>High</t>
        </is>
      </c>
      <c r="J27" s="24" t="inlineStr">
        <is>
          <t>Pass</t>
        </is>
      </c>
      <c r="K27" s="24" t="inlineStr"/>
      <c r="L27" s="24" t="inlineStr"/>
      <c r="M27" s="24" t="inlineStr"/>
    </row>
    <row r="28" ht="15" customHeight="1" s="17">
      <c r="A28" s="24" t="inlineStr">
        <is>
          <t>TC-FR06-002</t>
        </is>
      </c>
      <c r="B28" s="24" t="inlineStr">
        <is>
          <t>FR-06</t>
        </is>
      </c>
      <c r="C28" s="24" t="inlineStr">
        <is>
          <t>Giá trị biên (BVA)</t>
        </is>
      </c>
      <c r="D28" s="24" t="inlineStr">
        <is>
          <t>Đặt vé với số lượng tối thiểu = 1 vé (biên dưới)</t>
        </is>
      </c>
      <c r="E28" s="24" t="inlineStr">
        <is>
          <t>Đã đăng nhập</t>
        </is>
      </c>
      <c r="F28" s="24" t="inlineStr">
        <is>
          <t>quantity = 1</t>
        </is>
      </c>
      <c r="G28" s="24" t="inlineStr">
        <is>
          <t>1. Chọn số lượng 1
2. Bấm Đặt vé</t>
        </is>
      </c>
      <c r="H28" s="24" t="inlineStr">
        <is>
          <t>Tạo đơn thành công, tổng tiền đúng bằng giá 1 vé</t>
        </is>
      </c>
      <c r="I28" s="24" t="inlineStr">
        <is>
          <t>High</t>
        </is>
      </c>
      <c r="J28" s="24" t="inlineStr">
        <is>
          <t>Pass</t>
        </is>
      </c>
      <c r="K28" s="24" t="inlineStr"/>
      <c r="L28" s="24" t="inlineStr"/>
      <c r="M28" s="24" t="inlineStr"/>
    </row>
    <row r="29" ht="15" customHeight="1" s="17">
      <c r="A29" s="24" t="inlineStr">
        <is>
          <t>TC-FR06-003</t>
        </is>
      </c>
      <c r="B29" s="24" t="inlineStr">
        <is>
          <t>FR-06</t>
        </is>
      </c>
      <c r="C29" s="24" t="inlineStr">
        <is>
          <t>Giá trị biên (BVA)</t>
        </is>
      </c>
      <c r="D29" s="24" t="inlineStr">
        <is>
          <t>Đặt vé với số lượng tối đa = 5 vé (biên trên)</t>
        </is>
      </c>
      <c r="E29" s="24" t="inlineStr">
        <is>
          <t>Đã đăng nhập</t>
        </is>
      </c>
      <c r="F29" s="24" t="inlineStr">
        <is>
          <t>quantity = 5</t>
        </is>
      </c>
      <c r="G29" s="24" t="inlineStr">
        <is>
          <t>1. Chọn số lượng 5
2. Bấm Đặt vé</t>
        </is>
      </c>
      <c r="H29" s="24" t="inlineStr">
        <is>
          <t>Tạo đơn thành công với 5 vé</t>
        </is>
      </c>
      <c r="I29" s="24" t="inlineStr">
        <is>
          <t>High</t>
        </is>
      </c>
      <c r="J29" s="24" t="inlineStr">
        <is>
          <t>Pass</t>
        </is>
      </c>
      <c r="K29" s="24" t="inlineStr"/>
      <c r="L29" s="24" t="inlineStr"/>
      <c r="M29" s="24" t="inlineStr"/>
    </row>
    <row r="30" ht="15" customHeight="1" s="17">
      <c r="A30" s="24" t="inlineStr">
        <is>
          <t>TC-FR06-004</t>
        </is>
      </c>
      <c r="B30" s="24" t="inlineStr">
        <is>
          <t>FR-06</t>
        </is>
      </c>
      <c r="C30" s="24" t="inlineStr">
        <is>
          <t>Giá trị biên (BVA)</t>
        </is>
      </c>
      <c r="D30" s="24" t="inlineStr">
        <is>
          <t>Đặt vé vượt quá số lượng tối đa = 6 vé (vượt biên trên)</t>
        </is>
      </c>
      <c r="E30" s="24" t="inlineStr">
        <is>
          <t>Đã đăng nhập</t>
        </is>
      </c>
      <c r="F30" s="24" t="inlineStr">
        <is>
          <t>quantity = 6</t>
        </is>
      </c>
      <c r="G30" s="24" t="inlineStr">
        <is>
          <t>1. Nhập số lượng 6 vé
2. Bấm Đặt vé</t>
        </is>
      </c>
      <c r="H30" s="24" t="inlineStr">
        <is>
          <t>Báo lỗi: Số lượng vé mỗi đơn tối đa là 5 vé</t>
        </is>
      </c>
      <c r="I30" s="24" t="inlineStr">
        <is>
          <t>High</t>
        </is>
      </c>
      <c r="J30" s="24" t="inlineStr">
        <is>
          <t>Pass</t>
        </is>
      </c>
      <c r="K30" s="24" t="inlineStr"/>
      <c r="L30" s="24" t="inlineStr"/>
      <c r="M30" s="24" t="inlineStr"/>
    </row>
    <row r="31" ht="15" customHeight="1" s="17">
      <c r="A31" s="24" t="inlineStr">
        <is>
          <t>TC-FR06-005</t>
        </is>
      </c>
      <c r="B31" s="24" t="inlineStr">
        <is>
          <t>FR-06</t>
        </is>
      </c>
      <c r="C31" s="24" t="inlineStr">
        <is>
          <t>Giá trị biên (BVA)</t>
        </is>
      </c>
      <c r="D31" s="24" t="inlineStr">
        <is>
          <t>Đặt vé với số lượng = 0 vé (dưới biên tối thiểu)</t>
        </is>
      </c>
      <c r="E31" s="24" t="inlineStr">
        <is>
          <t>Đã đăng nhập</t>
        </is>
      </c>
      <c r="F31" s="24" t="inlineStr">
        <is>
          <t>quantity = 0</t>
        </is>
      </c>
      <c r="G31" s="24" t="inlineStr">
        <is>
          <t>1. Gửi request đặt vé với quantity = 0</t>
        </is>
      </c>
      <c r="H31" s="24" t="inlineStr">
        <is>
          <t>Báo lỗi HTTP 400/422: Số lượng vé phải từ 1 đến 5 vé</t>
        </is>
      </c>
      <c r="I31" s="24" t="inlineStr">
        <is>
          <t>Medium</t>
        </is>
      </c>
      <c r="J31" s="24" t="inlineStr">
        <is>
          <t>Fail</t>
        </is>
      </c>
      <c r="K31" s="24" t="inlineStr">
        <is>
          <t>Hệ thống chấp nhận tạo đơn hàng 0 vé với giá 0đ</t>
        </is>
      </c>
      <c r="L31" s="24" t="inlineStr">
        <is>
          <t>BUG-004</t>
        </is>
      </c>
      <c r="M31" s="24" t="inlineStr"/>
    </row>
    <row r="32" ht="15" customHeight="1" s="17">
      <c r="A32" s="24" t="inlineStr">
        <is>
          <t>TC-FR06-006</t>
        </is>
      </c>
      <c r="B32" s="24" t="inlineStr">
        <is>
          <t>FR-06</t>
        </is>
      </c>
      <c r="C32" s="24" t="inlineStr">
        <is>
          <t>Error guessing / Checklist</t>
        </is>
      </c>
      <c r="D32" s="24" t="inlineStr">
        <is>
          <t>Nhập mã voucher chứa ký tự đặc biệt dấu nháy đơn '</t>
        </is>
      </c>
      <c r="E32" s="24" t="inlineStr">
        <is>
          <t>Đang ở bước thanh toán</t>
        </is>
      </c>
      <c r="F32" s="24" t="inlineStr">
        <is>
          <t>voucher_code = "GIAM'20"</t>
        </is>
      </c>
      <c r="G32" s="24" t="inlineStr">
        <is>
          <t>1. Nhập mã voucher chứa dấu nháy đơn
2. Gửi request POST /api/bookings</t>
        </is>
      </c>
      <c r="H32" s="24" t="inlineStr">
        <is>
          <t>Báo lỗi mã voucher không hợp lệ, không gây sập ứng dụng</t>
        </is>
      </c>
      <c r="I32" s="24" t="inlineStr">
        <is>
          <t>High</t>
        </is>
      </c>
      <c r="J32" s="24" t="inlineStr">
        <is>
          <t>Fail</t>
        </is>
      </c>
      <c r="K32" s="24" t="inlineStr">
        <is>
          <t>Crash HTTP 500 Unhandled Exception do IndexError trong hàm xử lý chuỗi</t>
        </is>
      </c>
      <c r="L32" s="24" t="inlineStr">
        <is>
          <t>BUG-014</t>
        </is>
      </c>
      <c r="M32" s="24" t="inlineStr"/>
    </row>
    <row r="33" ht="15" customHeight="1" s="17">
      <c r="A33" s="24" t="inlineStr">
        <is>
          <t>TC-FR06-007</t>
        </is>
      </c>
      <c r="B33" s="24" t="inlineStr">
        <is>
          <t>FR-06</t>
        </is>
      </c>
      <c r="C33" s="24" t="inlineStr">
        <is>
          <t>Giá trị biên (BVA)</t>
        </is>
      </c>
      <c r="D33" s="24" t="inlineStr">
        <is>
          <t>Nhiều người dùng đồng thời mua vé khi chỉ còn 5 vé</t>
        </is>
      </c>
      <c r="E33" s="24" t="inlineStr">
        <is>
          <t>Hạng vé còn đúng 5 vé</t>
        </is>
      </c>
      <c r="F33" s="24" t="inlineStr">
        <is>
          <t>50 requests đồng thời gửi POST /api/bookings</t>
        </is>
      </c>
      <c r="G33" s="24" t="inlineStr">
        <is>
          <t>1. Thiết lập kịch bản concurrency 50 threads
2. Gửi đồng thời đặt 1 vé
3. Kiểm tra DB</t>
        </is>
      </c>
      <c r="H33" s="24" t="inlineStr">
        <is>
          <t>Chỉ có đúng 5 đơn thành công, tồn kho còn lại = 0, không bán âm kho</t>
        </is>
      </c>
      <c r="I33" s="24" t="inlineStr">
        <is>
          <t>High</t>
        </is>
      </c>
      <c r="J33" s="24" t="inlineStr">
        <is>
          <t>Fail</t>
        </is>
      </c>
      <c r="K33" s="24" t="inlineStr">
        <is>
          <t>Race condition khiến bán thành công 7 vé, tồn kho bị âm -2</t>
        </is>
      </c>
      <c r="L33" s="24" t="inlineStr">
        <is>
          <t>BUG-001</t>
        </is>
      </c>
      <c r="M33" s="24" t="inlineStr"/>
    </row>
    <row r="34" ht="15" customHeight="1" s="17">
      <c r="A34" s="24" t="inlineStr">
        <is>
          <t>TC-FR07-001</t>
        </is>
      </c>
      <c r="B34" s="24" t="inlineStr">
        <is>
          <t>FR-07</t>
        </is>
      </c>
      <c r="C34" s="24" t="inlineStr">
        <is>
          <t>Phân hoạch tương đương (EP)</t>
        </is>
      </c>
      <c r="D34" s="24" t="inlineStr">
        <is>
          <t>Áp dụng voucher giảm tiền cố định GIAM50K</t>
        </is>
      </c>
      <c r="E34" s="24" t="inlineStr">
        <is>
          <t>Đơn hàng giá trị 500.000đ</t>
        </is>
      </c>
      <c r="F34" s="24" t="inlineStr">
        <is>
          <t>Voucher GIAM50K (giảm 50.000đ)</t>
        </is>
      </c>
      <c r="G34" s="24" t="inlineStr">
        <is>
          <t>1. Nhập GIAM50K
2. Bấm Áp dụng</t>
        </is>
      </c>
      <c r="H34" s="24" t="inlineStr">
        <is>
          <t>Giảm chính xác 50.000đ, số tiền cần trả còn 450.000đ</t>
        </is>
      </c>
      <c r="I34" s="24" t="inlineStr">
        <is>
          <t>High</t>
        </is>
      </c>
      <c r="J34" s="24" t="inlineStr">
        <is>
          <t>Pass</t>
        </is>
      </c>
      <c r="K34" s="24" t="inlineStr"/>
      <c r="L34" s="24" t="inlineStr"/>
      <c r="M34" s="24" t="inlineStr"/>
    </row>
    <row r="35" ht="15" customHeight="1" s="17">
      <c r="A35" s="24" t="inlineStr">
        <is>
          <t>TC-FR07-002</t>
        </is>
      </c>
      <c r="B35" s="24" t="inlineStr">
        <is>
          <t>FR-07</t>
        </is>
      </c>
      <c r="C35" s="24" t="inlineStr">
        <is>
          <t>Phân hoạch tương đương (EP)</t>
        </is>
      </c>
      <c r="D35" s="24" t="inlineStr">
        <is>
          <t>Áp dụng voucher giảm % trong hạn mức</t>
        </is>
      </c>
      <c r="E35" s="24" t="inlineStr">
        <is>
          <t>Đơn hàng 500.000đ</t>
        </is>
      </c>
      <c r="F35" s="24" t="inlineStr">
        <is>
          <t>Voucher GIAM10 (giảm 10%)</t>
        </is>
      </c>
      <c r="G35" s="24" t="inlineStr">
        <is>
          <t>1. Nhập GIAM10
2. Bấm Áp dụng</t>
        </is>
      </c>
      <c r="H35" s="24" t="inlineStr">
        <is>
          <t>Giảm 50.000đ (10% của 500k), thành tiền 450.000đ</t>
        </is>
      </c>
      <c r="I35" s="24" t="inlineStr">
        <is>
          <t>High</t>
        </is>
      </c>
      <c r="J35" s="24" t="inlineStr">
        <is>
          <t>Pass</t>
        </is>
      </c>
      <c r="K35" s="24" t="inlineStr"/>
      <c r="L35" s="24" t="inlineStr"/>
      <c r="M35" s="24" t="inlineStr"/>
    </row>
    <row r="36">
      <c r="A36" s="16" t="inlineStr">
        <is>
          <t>TC-FR07-003</t>
        </is>
      </c>
      <c r="B36" s="16" t="inlineStr">
        <is>
          <t>FR-07</t>
        </is>
      </c>
      <c r="C36" s="16" t="inlineStr">
        <is>
          <t>Giá trị biên (BVA)</t>
        </is>
      </c>
      <c r="D36" s="16" t="inlineStr">
        <is>
          <t>Áp dụng voucher GIAM20 cho đơn hàng lớn vượt trần 150k</t>
        </is>
      </c>
      <c r="E36" s="16" t="inlineStr">
        <is>
          <t>Đơn hàng trị giá 2.000.000đ</t>
        </is>
      </c>
      <c r="F36" s="16" t="inlineStr">
        <is>
          <t>Voucher GIAM20 (giảm 20%, trần 150k)</t>
        </is>
      </c>
      <c r="G36" s="16" t="inlineStr">
        <is>
          <t>1. Nhập GIAM20 cho đơn 2.000.000đ
2. Bấm Áp dụng</t>
        </is>
      </c>
      <c r="H36" s="16" t="inlineStr">
        <is>
          <t>Mức giảm bị chặn ở trần tối đa 150.000đ, thành tiền 1.850.000đ</t>
        </is>
      </c>
      <c r="I36" s="16" t="inlineStr">
        <is>
          <t>High</t>
        </is>
      </c>
      <c r="J36" s="16" t="inlineStr">
        <is>
          <t>Fail</t>
        </is>
      </c>
      <c r="K36" s="16" t="inlineStr">
        <is>
          <t>Giảm 400.000đ (20%), vượt trần tối đa 150.000đ theo quy định</t>
        </is>
      </c>
      <c r="L36" s="16" t="inlineStr">
        <is>
          <t>BUG-002</t>
        </is>
      </c>
      <c r="M36" s="16" t="inlineStr"/>
    </row>
    <row r="37">
      <c r="A37" s="16" t="inlineStr">
        <is>
          <t>TC-FR07-004</t>
        </is>
      </c>
      <c r="B37" s="16" t="inlineStr">
        <is>
          <t>FR-07</t>
        </is>
      </c>
      <c r="C37" s="16" t="inlineStr">
        <is>
          <t>Bảng quyết định</t>
        </is>
      </c>
      <c r="D37" s="16" t="inlineStr">
        <is>
          <t>Nhập mã voucher sai hoặc đã hết hạn</t>
        </is>
      </c>
      <c r="E37" s="16" t="inlineStr">
        <is>
          <t>Đang đặt vé</t>
        </is>
      </c>
      <c r="F37" s="16" t="inlineStr">
        <is>
          <t>Voucher 'VOUCHEREXPIRED'</t>
        </is>
      </c>
      <c r="G37" s="16" t="inlineStr">
        <is>
          <t>1. Nhập mã voucher sai
2. Bấm Áp dụng</t>
        </is>
      </c>
      <c r="H37" s="16" t="inlineStr">
        <is>
          <t>Báo lỗi: 'Mã giảm giá không tồn tại hoặc đã hết hạn sử dụng'</t>
        </is>
      </c>
      <c r="I37" s="16" t="inlineStr">
        <is>
          <t>Low</t>
        </is>
      </c>
      <c r="J37" s="16" t="inlineStr">
        <is>
          <t>Fail</t>
        </is>
      </c>
      <c r="K37" s="16" t="inlineStr">
        <is>
          <t>Hiển thị thông báo nhầm lẫn: 'Mật khẩu tài khoản không đúng, vui lòng thử lại'</t>
        </is>
      </c>
      <c r="L37" s="16" t="inlineStr">
        <is>
          <t>BUG-010</t>
        </is>
      </c>
      <c r="M37" s="16" t="inlineStr"/>
    </row>
    <row r="38">
      <c r="A38" s="16" t="inlineStr">
        <is>
          <t>TC-FR07-005</t>
        </is>
      </c>
      <c r="B38" s="16" t="inlineStr">
        <is>
          <t>FR-07</t>
        </is>
      </c>
      <c r="C38" s="16" t="inlineStr">
        <is>
          <t>Bảng quyết định</t>
        </is>
      </c>
      <c r="D38" s="16" t="inlineStr">
        <is>
          <t>Áp dụng voucher khi đơn hàng chưa đạt giá trị tối thiểu</t>
        </is>
      </c>
      <c r="E38" s="16" t="inlineStr">
        <is>
          <t>Đơn hàng 100.000đ</t>
        </is>
      </c>
      <c r="F38" s="16" t="inlineStr">
        <is>
          <t>Voucher yêu cầu đơn tối thiểu 200.000đ</t>
        </is>
      </c>
      <c r="G38" s="16" t="inlineStr">
        <is>
          <t>1. Nhập mã voucher
2. Bấm Áp dụng</t>
        </is>
      </c>
      <c r="H38" s="16" t="inlineStr">
        <is>
          <t>Báo lỗi: Đơn hàng chưa đạt giá trị tối thiểu để áp dụng mã này</t>
        </is>
      </c>
      <c r="I38" s="16" t="inlineStr">
        <is>
          <t>Medium</t>
        </is>
      </c>
      <c r="J38" s="16" t="inlineStr">
        <is>
          <t>Pass</t>
        </is>
      </c>
      <c r="K38" s="16" t="inlineStr"/>
      <c r="L38" s="16" t="inlineStr"/>
      <c r="M38" s="16" t="inlineStr"/>
    </row>
    <row r="39">
      <c r="A39" s="16" t="inlineStr">
        <is>
          <t>TC-FR08-001</t>
        </is>
      </c>
      <c r="B39" s="16" t="inlineStr">
        <is>
          <t>FR-08</t>
        </is>
      </c>
      <c r="C39" s="16" t="inlineStr">
        <is>
          <t>Bảng quyết định</t>
        </is>
      </c>
      <c r="D39" s="16" t="inlineStr">
        <is>
          <t>Thanh toán bằng ví nội bộ khi số dư đủ tiền</t>
        </is>
      </c>
      <c r="E39" s="16" t="inlineStr">
        <is>
          <t>Số dư ví 1.000.000đ, đơn hàng 400.000đ</t>
        </is>
      </c>
      <c r="F39" s="16" t="inlineStr">
        <is>
          <t>Phương thức: WALLET</t>
        </is>
      </c>
      <c r="G39" s="16" t="inlineStr">
        <is>
          <t>1. Chọn Thanh toán ví
2. Bấm Xác nhận thanh toán</t>
        </is>
      </c>
      <c r="H39" s="16" t="inlineStr">
        <is>
          <t>Trừ ví 400.000đ, số dư còn 600.000đ, xuất vé điện tử thành công</t>
        </is>
      </c>
      <c r="I39" s="16" t="inlineStr">
        <is>
          <t>High</t>
        </is>
      </c>
      <c r="J39" s="16" t="inlineStr">
        <is>
          <t>Pass</t>
        </is>
      </c>
      <c r="K39" s="16" t="inlineStr"/>
      <c r="L39" s="16" t="inlineStr"/>
      <c r="M39" s="16" t="inlineStr"/>
    </row>
    <row r="40">
      <c r="A40" s="16" t="inlineStr">
        <is>
          <t>TC-FR08-002</t>
        </is>
      </c>
      <c r="B40" s="16" t="inlineStr">
        <is>
          <t>FR-08</t>
        </is>
      </c>
      <c r="C40" s="16" t="inlineStr">
        <is>
          <t>Bảng quyết định</t>
        </is>
      </c>
      <c r="D40" s="16" t="inlineStr">
        <is>
          <t>Thanh toán bằng ví khi số dư không đủ tiền</t>
        </is>
      </c>
      <c r="E40" s="16" t="inlineStr">
        <is>
          <t>Số dư ví 100.000đ, đơn hàng 500.000đ</t>
        </is>
      </c>
      <c r="F40" s="16" t="inlineStr">
        <is>
          <t>Phương thức: WALLET</t>
        </is>
      </c>
      <c r="G40" s="16" t="inlineStr">
        <is>
          <t>1. Chọn Thanh toán ví
2. Bấm Xác nhận</t>
        </is>
      </c>
      <c r="H40" s="16" t="inlineStr">
        <is>
          <t>Báo lỗi: Số dư ví không đủ, gợi ý nạp thêm tiền hoặc chọn VietQR</t>
        </is>
      </c>
      <c r="I40" s="16" t="inlineStr">
        <is>
          <t>High</t>
        </is>
      </c>
      <c r="J40" s="16" t="inlineStr">
        <is>
          <t>Pass</t>
        </is>
      </c>
      <c r="K40" s="16" t="inlineStr"/>
      <c r="L40" s="16" t="inlineStr"/>
      <c r="M40" s="16" t="inlineStr"/>
    </row>
    <row r="41">
      <c r="A41" s="16" t="inlineStr">
        <is>
          <t>TC-FR08-003</t>
        </is>
      </c>
      <c r="B41" s="16" t="inlineStr">
        <is>
          <t>FR-08</t>
        </is>
      </c>
      <c r="C41" s="16" t="inlineStr">
        <is>
          <t>Chuyển trạng thái</t>
        </is>
      </c>
      <c r="D41" s="16" t="inlineStr">
        <is>
          <t>Tạo yêu cầu thanh toán qua cổng VietQR PayOS</t>
        </is>
      </c>
      <c r="E41" s="16" t="inlineStr">
        <is>
          <t>Đơn hàng 500.000đ</t>
        </is>
      </c>
      <c r="F41" s="16" t="inlineStr">
        <is>
          <t>Phương thức: PAYOS</t>
        </is>
      </c>
      <c r="G41" s="16" t="inlineStr">
        <is>
          <t>1. Chọn VietQR PayOS
2. Bấm Tạo thanh toán</t>
        </is>
      </c>
      <c r="H41" s="16" t="inlineStr">
        <is>
          <t>Hiển thị mã QR PayOS và thông tin chuyển khoản chính xác</t>
        </is>
      </c>
      <c r="I41" s="16" t="inlineStr">
        <is>
          <t>High</t>
        </is>
      </c>
      <c r="J41" s="16" t="inlineStr">
        <is>
          <t>Pass</t>
        </is>
      </c>
      <c r="K41" s="16" t="inlineStr"/>
      <c r="L41" s="16" t="inlineStr"/>
      <c r="M41" s="16" t="inlineStr"/>
    </row>
    <row r="42">
      <c r="A42" s="16" t="inlineStr">
        <is>
          <t>TC-FR08-004</t>
        </is>
      </c>
      <c r="B42" s="16" t="inlineStr">
        <is>
          <t>FR-08</t>
        </is>
      </c>
      <c r="C42" s="16" t="inlineStr">
        <is>
          <t>Error guessing / Checklist</t>
        </is>
      </c>
      <c r="D42" s="16" t="inlineStr">
        <is>
          <t>Kiểm tra định dạng hiển thị tiền tệ tổng thực thu</t>
        </is>
      </c>
      <c r="E42" s="16" t="inlineStr">
        <is>
          <t>Đơn hàng 1.000.000đ</t>
        </is>
      </c>
      <c r="F42" s="16" t="inlineStr">
        <is>
          <t>Màn hình tóm tắt thanh toán</t>
        </is>
      </c>
      <c r="G42" s="16" t="inlineStr">
        <is>
          <t>1. Quan sát dòng Tổng thực thu trên giao diện</t>
        </is>
      </c>
      <c r="H42" s="16" t="inlineStr">
        <is>
          <t>Hiển thị '1,000,000 đ' có dấu phẩy phân cách hàng nghìn và căn lề phải</t>
        </is>
      </c>
      <c r="I42" s="16" t="inlineStr">
        <is>
          <t>Low</t>
        </is>
      </c>
      <c r="J42" s="16" t="inlineStr">
        <is>
          <t>Fail</t>
        </is>
      </c>
      <c r="K42" s="16" t="inlineStr">
        <is>
          <t>Hiển thị '1000000 VND' không dấu phẩy và bị căn trái lệch cột</t>
        </is>
      </c>
      <c r="L42" s="16" t="inlineStr">
        <is>
          <t>BUG-008</t>
        </is>
      </c>
      <c r="M42" s="16" t="inlineStr"/>
    </row>
    <row r="43">
      <c r="A43" s="16" t="inlineStr">
        <is>
          <t>TC-FR09-001</t>
        </is>
      </c>
      <c r="B43" s="16" t="inlineStr">
        <is>
          <t>FR-09</t>
        </is>
      </c>
      <c r="C43" s="16" t="inlineStr">
        <is>
          <t>Giá trị biên (BVA)</t>
        </is>
      </c>
      <c r="D43" s="16" t="inlineStr">
        <is>
          <t>Hủy vé trước khi sự kiện diễn ra &gt; 48 giờ</t>
        </is>
      </c>
      <c r="E43" s="16" t="inlineStr">
        <is>
          <t>Vé hợp lệ, sự kiện diễn ra sau 72 giờ</t>
        </is>
      </c>
      <c r="F43" s="16" t="inlineStr">
        <is>
          <t>Ticket ID hợp lệ</t>
        </is>
      </c>
      <c r="G43" s="16" t="inlineStr">
        <is>
          <t>1. Mở chi tiết vé
2. Bấm Hủy vé</t>
        </is>
      </c>
      <c r="H43" s="16" t="inlineStr">
        <is>
          <t>Hủy vé thành công, hoàn lại 90% giá vé vào ví khách</t>
        </is>
      </c>
      <c r="I43" s="16" t="inlineStr">
        <is>
          <t>High</t>
        </is>
      </c>
      <c r="J43" s="16" t="inlineStr">
        <is>
          <t>Pass</t>
        </is>
      </c>
      <c r="K43" s="16" t="inlineStr"/>
      <c r="L43" s="16" t="inlineStr"/>
      <c r="M43" s="16" t="inlineStr"/>
    </row>
    <row r="44">
      <c r="A44" s="16" t="inlineStr">
        <is>
          <t>TC-FR09-002</t>
        </is>
      </c>
      <c r="B44" s="16" t="inlineStr">
        <is>
          <t>FR-09</t>
        </is>
      </c>
      <c r="C44" s="16" t="inlineStr">
        <is>
          <t>Giá trị biên (BVA)</t>
        </is>
      </c>
      <c r="D44" s="16" t="inlineStr">
        <is>
          <t>Hủy vé trước khi sự kiện diễn ra từ 24 đến 48 giờ</t>
        </is>
      </c>
      <c r="E44" s="16" t="inlineStr">
        <is>
          <t>Vé hợp lệ, sự kiện diễn ra sau 30 giờ</t>
        </is>
      </c>
      <c r="F44" s="16" t="inlineStr">
        <is>
          <t>Ticket ID hợp lệ</t>
        </is>
      </c>
      <c r="G44" s="16" t="inlineStr">
        <is>
          <t>1. Bấm Hủy vé</t>
        </is>
      </c>
      <c r="H44" s="16" t="inlineStr">
        <is>
          <t>Hủy vé thành công, hoàn lại 70% giá vé vào ví khách</t>
        </is>
      </c>
      <c r="I44" s="16" t="inlineStr">
        <is>
          <t>High</t>
        </is>
      </c>
      <c r="J44" s="16" t="inlineStr">
        <is>
          <t>Pass</t>
        </is>
      </c>
      <c r="K44" s="16" t="inlineStr"/>
      <c r="L44" s="16" t="inlineStr"/>
      <c r="M44" s="16" t="inlineStr"/>
    </row>
    <row r="45">
      <c r="A45" s="16" t="inlineStr">
        <is>
          <t>TC-FR09-003</t>
        </is>
      </c>
      <c r="B45" s="16" t="inlineStr">
        <is>
          <t>FR-09</t>
        </is>
      </c>
      <c r="C45" s="16" t="inlineStr">
        <is>
          <t>Giá trị biên (BVA)</t>
        </is>
      </c>
      <c r="D45" s="16" t="inlineStr">
        <is>
          <t>Hủy vé sát giờ diễn ra sự kiện &lt; 24 giờ</t>
        </is>
      </c>
      <c r="E45" s="16" t="inlineStr">
        <is>
          <t>Vé hợp lệ, sự kiện diễn ra sau 5 giờ</t>
        </is>
      </c>
      <c r="F45" s="16" t="inlineStr">
        <is>
          <t>Ticket ID hợp lệ</t>
        </is>
      </c>
      <c r="G45" s="16" t="inlineStr">
        <is>
          <t>1. Gửi request POST /api/bookings/{ticket_id}/cancel</t>
        </is>
      </c>
      <c r="H45" s="16" t="inlineStr">
        <is>
          <t>Từ chối hủy vé theo quy định: Không được hủy vé trước sự kiện dưới 24h</t>
        </is>
      </c>
      <c r="I45" s="16" t="inlineStr">
        <is>
          <t>High</t>
        </is>
      </c>
      <c r="J45" s="16" t="inlineStr">
        <is>
          <t>Fail</t>
        </is>
      </c>
      <c r="K45" s="16" t="inlineStr">
        <is>
          <t>Hệ thống vẫn chấp nhận hủy vé và hoàn lại tiền vào ví</t>
        </is>
      </c>
      <c r="L45" s="16" t="inlineStr">
        <is>
          <t>BUG-003</t>
        </is>
      </c>
      <c r="M45" s="16" t="inlineStr"/>
    </row>
    <row r="46">
      <c r="A46" s="16" t="inlineStr">
        <is>
          <t>TC-FR09-004</t>
        </is>
      </c>
      <c r="B46" s="16" t="inlineStr">
        <is>
          <t>FR-09</t>
        </is>
      </c>
      <c r="C46" s="16" t="inlineStr">
        <is>
          <t>Chuyển trạng thái</t>
        </is>
      </c>
      <c r="D46" s="16" t="inlineStr">
        <is>
          <t>Thử hủy vé đã qua cổng soát vé (CHECKED_IN)</t>
        </is>
      </c>
      <c r="E46" s="16" t="inlineStr">
        <is>
          <t>Vé có status == CHECKED_IN</t>
        </is>
      </c>
      <c r="F46" s="16" t="inlineStr">
        <is>
          <t>Ticket ID đã check-in</t>
        </is>
      </c>
      <c r="G46" s="16" t="inlineStr">
        <is>
          <t>1. Gửi yêu cầu hủy vé đã check-in</t>
        </is>
      </c>
      <c r="H46" s="16" t="inlineStr">
        <is>
          <t>Từ chối: Vé đã sử dụng vào cổng không được phép hủy</t>
        </is>
      </c>
      <c r="I46" s="16" t="inlineStr">
        <is>
          <t>Medium</t>
        </is>
      </c>
      <c r="J46" s="16" t="inlineStr">
        <is>
          <t>Pass</t>
        </is>
      </c>
      <c r="K46" s="16" t="inlineStr"/>
      <c r="L46" s="16" t="inlineStr"/>
      <c r="M46" s="16" t="inlineStr"/>
    </row>
    <row r="47">
      <c r="A47" s="16" t="inlineStr">
        <is>
          <t>TC-FR09-005</t>
        </is>
      </c>
      <c r="B47" s="16" t="inlineStr">
        <is>
          <t>FR-09</t>
        </is>
      </c>
      <c r="C47" s="16" t="inlineStr">
        <is>
          <t>Chuyển trạng thái</t>
        </is>
      </c>
      <c r="D47" s="16" t="inlineStr">
        <is>
          <t>Thử hủy lại một vé đã ở trạng thái CANCELLED</t>
        </is>
      </c>
      <c r="E47" s="16" t="inlineStr">
        <is>
          <t>Vé có status == CANCELLED</t>
        </is>
      </c>
      <c r="F47" s="16" t="inlineStr">
        <is>
          <t>Ticket ID đã hủy trước đó</t>
        </is>
      </c>
      <c r="G47" s="16" t="inlineStr">
        <is>
          <t>1. Gửi yêu cầu hủy vé lần 2</t>
        </is>
      </c>
      <c r="H47" s="16" t="inlineStr">
        <is>
          <t>Từ chối: Vé đã được hủy trước đó, không thể hủy lặp lại</t>
        </is>
      </c>
      <c r="I47" s="16" t="inlineStr">
        <is>
          <t>Medium</t>
        </is>
      </c>
      <c r="J47" s="16" t="inlineStr">
        <is>
          <t>Pass</t>
        </is>
      </c>
      <c r="K47" s="16" t="inlineStr"/>
      <c r="L47" s="16" t="inlineStr"/>
      <c r="M47" s="16" t="inlineStr"/>
    </row>
    <row r="48">
      <c r="A48" s="16" t="inlineStr">
        <is>
          <t>TC-FR10-001</t>
        </is>
      </c>
      <c r="B48" s="16" t="inlineStr">
        <is>
          <t>FR-10</t>
        </is>
      </c>
      <c r="C48" s="16" t="inlineStr">
        <is>
          <t>Phân hoạch tương đương (EP)</t>
        </is>
      </c>
      <c r="D48" s="16" t="inlineStr">
        <is>
          <t>Ban tổ chức xem danh sách người tham gia theo sự kiện</t>
        </is>
      </c>
      <c r="E48" s="16" t="inlineStr">
        <is>
          <t>Đã đăng nhập vai Ban tổ chức sở hữu sự kiện</t>
        </is>
      </c>
      <c r="F48" s="16" t="inlineStr">
        <is>
          <t>Event ID 1</t>
        </is>
      </c>
      <c r="G48" s="16" t="inlineStr">
        <is>
          <t>1. Mở trang Quản lý sự kiện
2. Chọn tab Người tham gia</t>
        </is>
      </c>
      <c r="H48" s="16" t="inlineStr">
        <is>
          <t>Hiển thị bảng danh sách đầy đủ thông tin khách, mã vé, trạng thái</t>
        </is>
      </c>
      <c r="I48" s="16" t="inlineStr">
        <is>
          <t>High</t>
        </is>
      </c>
      <c r="J48" s="16" t="inlineStr">
        <is>
          <t>Pass</t>
        </is>
      </c>
      <c r="K48" s="16" t="inlineStr"/>
      <c r="L48" s="16" t="inlineStr"/>
      <c r="M48" s="16" t="inlineStr"/>
    </row>
    <row r="49">
      <c r="A49" s="16" t="inlineStr">
        <is>
          <t>TC-FR10-002</t>
        </is>
      </c>
      <c r="B49" s="16" t="inlineStr">
        <is>
          <t>FR-10</t>
        </is>
      </c>
      <c r="C49" s="16" t="inlineStr">
        <is>
          <t>Phân hoạch tương đương (EP)</t>
        </is>
      </c>
      <c r="D49" s="16" t="inlineStr">
        <is>
          <t>Lọc danh sách người tham gia theo trạng thái vé</t>
        </is>
      </c>
      <c r="E49" s="16" t="inlineStr">
        <is>
          <t>Sự kiện có khách ở nhiều trạng thái</t>
        </is>
      </c>
      <c r="F49" s="16" t="inlineStr">
        <is>
          <t>Filter status: CHECKED_IN</t>
        </is>
      </c>
      <c r="G49" s="16" t="inlineStr">
        <is>
          <t>1. Chọn bộ lọc 'Đã tham dự'
2. Quan sát bảng</t>
        </is>
      </c>
      <c r="H49" s="16" t="inlineStr">
        <is>
          <t>Chỉ hiển thị các khách hàng có vé đã check-in thành công</t>
        </is>
      </c>
      <c r="I49" s="16" t="inlineStr">
        <is>
          <t>Medium</t>
        </is>
      </c>
      <c r="J49" s="16" t="inlineStr">
        <is>
          <t>Pass</t>
        </is>
      </c>
      <c r="K49" s="16" t="inlineStr"/>
      <c r="L49" s="16" t="inlineStr"/>
      <c r="M49" s="16" t="inlineStr"/>
    </row>
    <row r="50">
      <c r="A50" s="16" t="inlineStr">
        <is>
          <t>TC-FR10-003</t>
        </is>
      </c>
      <c r="B50" s="16" t="inlineStr">
        <is>
          <t>FR-10</t>
        </is>
      </c>
      <c r="C50" s="16" t="inlineStr">
        <is>
          <t>Phân hoạch tương đương (EP)</t>
        </is>
      </c>
      <c r="D50" s="16" t="inlineStr">
        <is>
          <t>Xuất file Excel danh sách người tham gia sự kiện</t>
        </is>
      </c>
      <c r="E50" s="16" t="inlineStr">
        <is>
          <t>Sự kiện có danh sách khách đăng ký</t>
        </is>
      </c>
      <c r="F50" s="16" t="inlineStr">
        <is>
          <t>Bấm nút Xuất Excel</t>
        </is>
      </c>
      <c r="G50" s="16" t="inlineStr">
        <is>
          <t>1. Mở tab Người tham gia
2. Bấm nút 'Xuất Excel Soát Vé'</t>
        </is>
      </c>
      <c r="H50" s="16" t="inlineStr">
        <is>
          <t>Tải về file Excel .xlsx chuẩn định dạng, đầy đủ các cột thông tin</t>
        </is>
      </c>
      <c r="I50" s="16" t="inlineStr">
        <is>
          <t>High</t>
        </is>
      </c>
      <c r="J50" s="16" t="inlineStr">
        <is>
          <t>Pass</t>
        </is>
      </c>
      <c r="K50" s="16" t="inlineStr"/>
      <c r="L50" s="16" t="inlineStr"/>
      <c r="M50" s="16" t="inlineStr"/>
    </row>
    <row r="51">
      <c r="A51" s="16" t="inlineStr">
        <is>
          <t>TC-FR10-004</t>
        </is>
      </c>
      <c r="B51" s="16" t="inlineStr">
        <is>
          <t>FR-10</t>
        </is>
      </c>
      <c r="C51" s="16" t="inlineStr">
        <is>
          <t>Error guessing / Checklist</t>
        </is>
      </c>
      <c r="D51" s="16" t="inlineStr">
        <is>
          <t>Kiểm tra tính năng dropdown chọn trạng thái trong Excel</t>
        </is>
      </c>
      <c r="E51" s="16" t="inlineStr">
        <is>
          <t>Đã tải file Excel soát vé về máy</t>
        </is>
      </c>
      <c r="F51" s="16" t="inlineStr">
        <is>
          <t>Mở file Excel</t>
        </is>
      </c>
      <c r="G51" s="16" t="inlineStr">
        <is>
          <t>1. Mở file Excel
2. Nhấp vào ô tại cột Trạng thái soát vé</t>
        </is>
      </c>
      <c r="H51" s="16" t="inlineStr">
        <is>
          <t>Hiển thị dropdown danh sách lựa chọn: 'Đã tham dự', 'Chưa check-in', 'Vắng mặt', 'Đã hủy vé'</t>
        </is>
      </c>
      <c r="I51" s="16" t="inlineStr">
        <is>
          <t>Medium</t>
        </is>
      </c>
      <c r="J51" s="16" t="inlineStr">
        <is>
          <t>Pass</t>
        </is>
      </c>
      <c r="K51" s="16" t="inlineStr"/>
      <c r="L51" s="16" t="inlineStr"/>
      <c r="M51" s="16" t="inlineStr"/>
    </row>
    <row r="52">
      <c r="A52" s="16" t="inlineStr">
        <is>
          <t>TC-FR11-001</t>
        </is>
      </c>
      <c r="B52" s="16" t="inlineStr">
        <is>
          <t>FR-11</t>
        </is>
      </c>
      <c r="C52" s="16" t="inlineStr">
        <is>
          <t>Chuyển trạng thái</t>
        </is>
      </c>
      <c r="D52" s="16" t="inlineStr">
        <is>
          <t>Admin phê duyệt sự kiện từ PENDING sang PUBLISHED</t>
        </is>
      </c>
      <c r="E52" s="16" t="inlineStr">
        <is>
          <t>Đã đăng nhập vai Admin</t>
        </is>
      </c>
      <c r="F52" s="16" t="inlineStr">
        <is>
          <t>Event ID ở trạng thái PENDING</t>
        </is>
      </c>
      <c r="G52" s="16" t="inlineStr">
        <is>
          <t>1. Mở /admin/events
2. Bấm Duyệt sự kiện</t>
        </is>
      </c>
      <c r="H52" s="16" t="inlineStr">
        <is>
          <t>Sự kiện chuyển sang PUBLISHED, hiển thị công khai trên trang chủ</t>
        </is>
      </c>
      <c r="I52" s="16" t="inlineStr">
        <is>
          <t>High</t>
        </is>
      </c>
      <c r="J52" s="16" t="inlineStr">
        <is>
          <t>Pass</t>
        </is>
      </c>
      <c r="K52" s="16" t="inlineStr"/>
      <c r="L52" s="16" t="inlineStr"/>
      <c r="M52" s="16" t="inlineStr"/>
    </row>
    <row r="53">
      <c r="A53" s="16" t="inlineStr">
        <is>
          <t>TC-FR11-002</t>
        </is>
      </c>
      <c r="B53" s="16" t="inlineStr">
        <is>
          <t>FR-11</t>
        </is>
      </c>
      <c r="C53" s="16" t="inlineStr">
        <is>
          <t>Chuyển trạng thái</t>
        </is>
      </c>
      <c r="D53" s="16" t="inlineStr">
        <is>
          <t>Admin từ chối sự kiện không đạt tiêu chuẩn</t>
        </is>
      </c>
      <c r="E53" s="16" t="inlineStr">
        <is>
          <t>Đã đăng nhập vai Admin</t>
        </is>
      </c>
      <c r="F53" s="16" t="inlineStr">
        <is>
          <t>Event ID ở trạng thái PENDING</t>
        </is>
      </c>
      <c r="G53" s="16" t="inlineStr">
        <is>
          <t>1. Mở danh sách duyệt sự kiện
2. Bấm Từ chối</t>
        </is>
      </c>
      <c r="H53" s="16" t="inlineStr">
        <is>
          <t>Sự kiện chuyển sang REJECTED, không xuất hiện trên trang chủ</t>
        </is>
      </c>
      <c r="I53" s="16" t="inlineStr">
        <is>
          <t>Medium</t>
        </is>
      </c>
      <c r="J53" s="16" t="inlineStr">
        <is>
          <t>Pass</t>
        </is>
      </c>
      <c r="K53" s="16" t="inlineStr"/>
      <c r="L53" s="16" t="inlineStr"/>
      <c r="M53" s="16" t="inlineStr"/>
    </row>
    <row r="54">
      <c r="A54" s="16" t="inlineStr">
        <is>
          <t>TC-FR11-003</t>
        </is>
      </c>
      <c r="B54" s="16" t="inlineStr">
        <is>
          <t>FR-11</t>
        </is>
      </c>
      <c r="C54" s="16" t="inlineStr">
        <is>
          <t>Phân hoạch tương đương (EP)</t>
        </is>
      </c>
      <c r="D54" s="16" t="inlineStr">
        <is>
          <t>Admin cập nhật tỷ lệ phí sàn hệ thống</t>
        </is>
      </c>
      <c r="E54" s="16" t="inlineStr">
        <is>
          <t>Đã đăng nhập vai Admin</t>
        </is>
      </c>
      <c r="F54" s="16" t="inlineStr">
        <is>
          <t>platform_fee_percent = 6.0</t>
        </is>
      </c>
      <c r="G54" s="16" t="inlineStr">
        <is>
          <t>1. Gửi PUT /api/admin/system/fee
2. Truy vấn lại</t>
        </is>
      </c>
      <c r="H54" s="16" t="inlineStr">
        <is>
          <t>Cập nhật thành công, phí sàn mới được áp dụng cho các đơn sau</t>
        </is>
      </c>
      <c r="I54" s="16" t="inlineStr">
        <is>
          <t>Medium</t>
        </is>
      </c>
      <c r="J54" s="16" t="inlineStr">
        <is>
          <t>Pass</t>
        </is>
      </c>
      <c r="K54" s="16" t="inlineStr"/>
      <c r="L54" s="16" t="inlineStr"/>
      <c r="M54" s="16" t="inlineStr"/>
    </row>
    <row r="55">
      <c r="A55" s="16" t="inlineStr">
        <is>
          <t>TC-FR11-004</t>
        </is>
      </c>
      <c r="B55" s="16" t="inlineStr">
        <is>
          <t>FR-11</t>
        </is>
      </c>
      <c r="C55" s="16" t="inlineStr">
        <is>
          <t>Phân quyền</t>
        </is>
      </c>
      <c r="D55" s="16" t="inlineStr">
        <is>
          <t>Người dùng vai Khách cố tình gọi API Quản trị Admin</t>
        </is>
      </c>
      <c r="E55" s="16" t="inlineStr">
        <is>
          <t>Đã đăng nhập vai Khách Attendee</t>
        </is>
      </c>
      <c r="F55" s="16" t="inlineStr">
        <is>
          <t>GET /api/admin/users</t>
        </is>
      </c>
      <c r="G55" s="16" t="inlineStr">
        <is>
          <t>1. Dùng token Attendee gọi GET /api/admin/users</t>
        </is>
      </c>
      <c r="H55" s="16" t="inlineStr">
        <is>
          <t>Bị chặn với mã lỗi HTTP 403 Forbidden: Quyền truy cập bị từ chối</t>
        </is>
      </c>
      <c r="I55" s="16" t="inlineStr">
        <is>
          <t>High</t>
        </is>
      </c>
      <c r="J55" s="16" t="inlineStr">
        <is>
          <t>Pass</t>
        </is>
      </c>
      <c r="K55" s="16" t="inlineStr"/>
      <c r="L55" s="16" t="inlineStr"/>
      <c r="M55" s="16" t="inlineStr"/>
    </row>
    <row r="56">
      <c r="A56" s="16" t="inlineStr">
        <is>
          <t>TC-FR11-005</t>
        </is>
      </c>
      <c r="B56" s="16" t="inlineStr">
        <is>
          <t>FR-11</t>
        </is>
      </c>
      <c r="C56" s="16" t="inlineStr">
        <is>
          <t>Phân quyền</t>
        </is>
      </c>
      <c r="D56" s="16" t="inlineStr">
        <is>
          <t>Ban tổ chức cố tình truy cập đơn hàng của sự kiện khác</t>
        </is>
      </c>
      <c r="E56" s="16" t="inlineStr">
        <is>
          <t>Đã đăng nhập Ban tổ chức A</t>
        </is>
      </c>
      <c r="F56" s="16" t="inlineStr">
        <is>
          <t>Xem đơn hàng của Ban tổ chức B</t>
        </is>
      </c>
      <c r="G56" s="16" t="inlineStr">
        <is>
          <t>1. Gửi request xem đơn hàng của BTC B</t>
        </is>
      </c>
      <c r="H56" s="16" t="inlineStr">
        <is>
          <t>Bị chặn với HTTP 403 Forbidden</t>
        </is>
      </c>
      <c r="I56" s="16" t="inlineStr">
        <is>
          <t>High</t>
        </is>
      </c>
      <c r="J56" s="16" t="inlineStr">
        <is>
          <t>Pass</t>
        </is>
      </c>
      <c r="K56" s="16" t="inlineStr"/>
      <c r="L56" s="16" t="inlineStr"/>
      <c r="M56" s="16" t="inlineStr"/>
    </row>
    <row r="57">
      <c r="A57" s="16" t="inlineStr">
        <is>
          <t>TC-FR12-001</t>
        </is>
      </c>
      <c r="B57" s="16" t="inlineStr">
        <is>
          <t>FR-12</t>
        </is>
      </c>
      <c r="C57" s="16" t="inlineStr">
        <is>
          <t>Chuyển trạng thái</t>
        </is>
      </c>
      <c r="D57" s="16" t="inlineStr">
        <is>
          <t>Soát vé hợp lệ trạng thái ISSUED lần đầu</t>
        </is>
      </c>
      <c r="E57" s="16" t="inlineStr">
        <is>
          <t>Đã đăng nhập nhân viên soát vé</t>
        </is>
      </c>
      <c r="F57" s="16" t="inlineStr">
        <is>
          <t>Mã vé TICK-2026-VALID01</t>
        </is>
      </c>
      <c r="G57" s="16" t="inlineStr">
        <is>
          <t>1. Nhập mã vé hợp lệ
2. Bấm Xác nhận Check-in</t>
        </is>
      </c>
      <c r="H57" s="16" t="inlineStr">
        <is>
          <t>Xác thực thành công, vé chuyển sang CHECKED_IN, lưu giờ vào cổng</t>
        </is>
      </c>
      <c r="I57" s="16" t="inlineStr">
        <is>
          <t>High</t>
        </is>
      </c>
      <c r="J57" s="16" t="inlineStr">
        <is>
          <t>Pass</t>
        </is>
      </c>
      <c r="K57" s="16" t="inlineStr"/>
      <c r="L57" s="16" t="inlineStr"/>
      <c r="M57" s="16" t="inlineStr"/>
    </row>
    <row r="58">
      <c r="A58" s="16" t="inlineStr">
        <is>
          <t>TC-FR12-002</t>
        </is>
      </c>
      <c r="B58" s="16" t="inlineStr">
        <is>
          <t>FR-12</t>
        </is>
      </c>
      <c r="C58" s="16" t="inlineStr">
        <is>
          <t>Chuyển trạng thái</t>
        </is>
      </c>
      <c r="D58" s="16" t="inlineStr">
        <is>
          <t>Quét lại vé đã check-in thành công lần thứ 2</t>
        </is>
      </c>
      <c r="E58" s="16" t="inlineStr">
        <is>
          <t>Vé đã có status == CHECKED_IN</t>
        </is>
      </c>
      <c r="F58" s="16" t="inlineStr">
        <is>
          <t>Mã vé đã quét trước đó</t>
        </is>
      </c>
      <c r="G58" s="16" t="inlineStr">
        <is>
          <t>1. Nhập lại mã vé đã check-in
2. Bấm Check-in</t>
        </is>
      </c>
      <c r="H58" s="16" t="inlineStr">
        <is>
          <t>Báo cảnh báo màu vàng: 'Vé đã được check-in lúc HH:mm:ss', từ chối</t>
        </is>
      </c>
      <c r="I58" s="16" t="inlineStr">
        <is>
          <t>High</t>
        </is>
      </c>
      <c r="J58" s="16" t="inlineStr">
        <is>
          <t>Pass</t>
        </is>
      </c>
      <c r="K58" s="16" t="inlineStr"/>
      <c r="L58" s="16" t="inlineStr"/>
      <c r="M58" s="16" t="inlineStr"/>
    </row>
    <row r="59">
      <c r="A59" s="16" t="inlineStr">
        <is>
          <t>TC-FR12-003</t>
        </is>
      </c>
      <c r="B59" s="16" t="inlineStr">
        <is>
          <t>FR-12</t>
        </is>
      </c>
      <c r="C59" s="16" t="inlineStr">
        <is>
          <t>Bảng quyết định</t>
        </is>
      </c>
      <c r="D59" s="16" t="inlineStr">
        <is>
          <t>Quét mã vé giả mạo không tồn tại trên hệ thống</t>
        </is>
      </c>
      <c r="E59" s="16" t="inlineStr">
        <is>
          <t>Đang ở cổng soát vé</t>
        </is>
      </c>
      <c r="F59" s="16" t="inlineStr">
        <is>
          <t>Mã vé 'FAKE-TICKET-999'</t>
        </is>
      </c>
      <c r="G59" s="16" t="inlineStr">
        <is>
          <t>1. Nhập mã vé giả
2. Bấm Check-in</t>
        </is>
      </c>
      <c r="H59" s="16" t="inlineStr">
        <is>
          <t>Báo lỗi đỏ: 'Mã vé không hợp lệ hoặc không tồn tại'</t>
        </is>
      </c>
      <c r="I59" s="16" t="inlineStr">
        <is>
          <t>High</t>
        </is>
      </c>
      <c r="J59" s="16" t="inlineStr">
        <is>
          <t>Pass</t>
        </is>
      </c>
      <c r="K59" s="16" t="inlineStr"/>
      <c r="L59" s="16" t="inlineStr"/>
      <c r="M59" s="16" t="inlineStr"/>
    </row>
    <row r="60">
      <c r="A60" s="16" t="inlineStr">
        <is>
          <t>TC-FR12-004</t>
        </is>
      </c>
      <c r="B60" s="16" t="inlineStr">
        <is>
          <t>FR-12</t>
        </is>
      </c>
      <c r="C60" s="16" t="inlineStr">
        <is>
          <t>Chuyển trạng thái</t>
        </is>
      </c>
      <c r="D60" s="16" t="inlineStr">
        <is>
          <t>Quét mã vé đã bị hủy (status == CANCELLED)</t>
        </is>
      </c>
      <c r="E60" s="16" t="inlineStr">
        <is>
          <t>Vé TICK-2026-CANCEL03 đã hủy</t>
        </is>
      </c>
      <c r="F60" s="16" t="inlineStr">
        <is>
          <t>Mã vé đã bị hủy</t>
        </is>
      </c>
      <c r="G60" s="16" t="inlineStr">
        <is>
          <t>1. Nhập mã vé đã bị hủy
2. Bấm Check-in</t>
        </is>
      </c>
      <c r="H60" s="16" t="inlineStr">
        <is>
          <t>Từ chối check-in, báo lỗi đỏ: 'Vé đã bị hủy và hoàn tiền'</t>
        </is>
      </c>
      <c r="I60" s="16" t="inlineStr">
        <is>
          <t>High</t>
        </is>
      </c>
      <c r="J60" s="16" t="inlineStr">
        <is>
          <t>Fail</t>
        </is>
      </c>
      <c r="K60" s="16" t="inlineStr">
        <is>
          <t>Hệ thống vẫn chuyển trạng thái sang CHECKED_IN và báo hợp lệ</t>
        </is>
      </c>
      <c r="L60" s="16" t="inlineStr">
        <is>
          <t>BUG-005</t>
        </is>
      </c>
      <c r="M60" s="16" t="inlineStr"/>
    </row>
    <row r="61">
      <c r="A61" s="16" t="inlineStr">
        <is>
          <t>TC-FR13-001</t>
        </is>
      </c>
      <c r="B61" s="16" t="inlineStr">
        <is>
          <t>FR-13</t>
        </is>
      </c>
      <c r="C61" s="16" t="inlineStr">
        <is>
          <t>Bảng quyết định</t>
        </is>
      </c>
      <c r="D61" s="16" t="inlineStr">
        <is>
          <t>Tính toán doanh thu thực nhận sau khi khấu trừ 5% phí sàn</t>
        </is>
      </c>
      <c r="E61" s="16" t="inlineStr">
        <is>
          <t>Sự kiện bán được tổng tiền vé 10.000.000đ</t>
        </is>
      </c>
      <c r="F61" s="16" t="inlineStr">
        <is>
          <t>Event ID 1</t>
        </is>
      </c>
      <c r="G61" s="16" t="inlineStr">
        <is>
          <t>1. Mở trang Báo cáo doanh thu
2. Kiểm tra số tiền</t>
        </is>
      </c>
      <c r="H61" s="16" t="inlineStr">
        <is>
          <t>Doanh thu hiển thị 9.500.000đ (khấu trừ đúng 5% = 500.000đ phí sàn)</t>
        </is>
      </c>
      <c r="I61" s="16" t="inlineStr">
        <is>
          <t>High</t>
        </is>
      </c>
      <c r="J61" s="16" t="inlineStr">
        <is>
          <t>Pass</t>
        </is>
      </c>
      <c r="K61" s="16" t="inlineStr"/>
      <c r="L61" s="16" t="inlineStr"/>
      <c r="M61" s="16" t="inlineStr"/>
    </row>
    <row r="62">
      <c r="A62" s="16" t="inlineStr">
        <is>
          <t>TC-FR13-002</t>
        </is>
      </c>
      <c r="B62" s="16" t="inlineStr">
        <is>
          <t>FR-13</t>
        </is>
      </c>
      <c r="C62" s="16" t="inlineStr">
        <is>
          <t>Phân hoạch tương đương (EP)</t>
        </is>
      </c>
      <c r="D62" s="16" t="inlineStr">
        <is>
          <t>Xem biểu đồ số lượng vé bán ra theo từng hạng vé</t>
        </is>
      </c>
      <c r="E62" s="16" t="inlineStr">
        <is>
          <t>Sự kiện có 3 hạng vé</t>
        </is>
      </c>
      <c r="F62" s="16" t="inlineStr">
        <is>
          <t>Mở dashboard thống kê</t>
        </is>
      </c>
      <c r="G62" s="16" t="inlineStr">
        <is>
          <t>1. Quan sát thống kê từng hạng vé</t>
        </is>
      </c>
      <c r="H62" s="16" t="inlineStr">
        <is>
          <t>Hiển thị đúng số lượng vé đã bán và tỷ lệ lấp đầy theo hạng</t>
        </is>
      </c>
      <c r="I62" s="16" t="inlineStr">
        <is>
          <t>Medium</t>
        </is>
      </c>
      <c r="J62" s="16" t="inlineStr">
        <is>
          <t>Pass</t>
        </is>
      </c>
      <c r="K62" s="16" t="inlineStr"/>
      <c r="L62" s="16" t="inlineStr"/>
      <c r="M62" s="16" t="inlineStr"/>
    </row>
    <row r="63">
      <c r="A63" s="16" t="inlineStr">
        <is>
          <t>TC-FR13-003</t>
        </is>
      </c>
      <c r="B63" s="16" t="inlineStr">
        <is>
          <t>FR-13</t>
        </is>
      </c>
      <c r="C63" s="16" t="inlineStr">
        <is>
          <t>Bảng quyết định</t>
        </is>
      </c>
      <c r="D63" s="16" t="inlineStr">
        <is>
          <t>Đối soát trừ tiền khi có vé bị khách hàng hủy</t>
        </is>
      </c>
      <c r="E63" s="16" t="inlineStr">
        <is>
          <t>Có 1 vé 500.000đ bị hủy trước 48h</t>
        </is>
      </c>
      <c r="F63" s="16" t="inlineStr">
        <is>
          <t>Kiểm tra tổng doanh thu</t>
        </is>
      </c>
      <c r="G63" s="16" t="inlineStr">
        <is>
          <t>1. Xem báo cáo tài chính sự kiện</t>
        </is>
      </c>
      <c r="H63" s="16" t="inlineStr">
        <is>
          <t>Doanh thu sự kiện được trừ chính xác phần tiền hoàn lại</t>
        </is>
      </c>
      <c r="I63" s="16" t="inlineStr">
        <is>
          <t>Medium</t>
        </is>
      </c>
      <c r="J63" s="16" t="inlineStr">
        <is>
          <t>Pass</t>
        </is>
      </c>
      <c r="K63" s="16" t="inlineStr"/>
      <c r="L63" s="16" t="inlineStr"/>
      <c r="M63" s="16" t="inlineStr"/>
    </row>
    <row r="64">
      <c r="A64" s="16" t="inlineStr">
        <is>
          <t>TC-FR14-001</t>
        </is>
      </c>
      <c r="B64" s="16" t="inlineStr">
        <is>
          <t>FR-14</t>
        </is>
      </c>
      <c r="C64" s="16" t="inlineStr">
        <is>
          <t>Phân hoạch tương đương (EP)</t>
        </is>
      </c>
      <c r="D64" s="16" t="inlineStr">
        <is>
          <t>Khách xem danh sách đơn hàng đã đặt mua thành công</t>
        </is>
      </c>
      <c r="E64" s="16" t="inlineStr">
        <is>
          <t>Đã đăng nhập tài khoản Khách</t>
        </is>
      </c>
      <c r="F64" s="16" t="inlineStr">
        <is>
          <t>Mở /orders</t>
        </is>
      </c>
      <c r="G64" s="16" t="inlineStr">
        <is>
          <t>1. Mở trang Lịch sử đơn hàng</t>
        </is>
      </c>
      <c r="H64" s="16" t="inlineStr">
        <is>
          <t>Hiển thị danh sách các đơn hàng gồm mã đơn, ngày mua, tổng tiền</t>
        </is>
      </c>
      <c r="I64" s="16" t="inlineStr">
        <is>
          <t>Medium</t>
        </is>
      </c>
      <c r="J64" s="16" t="inlineStr">
        <is>
          <t>Pass</t>
        </is>
      </c>
      <c r="K64" s="16" t="inlineStr"/>
      <c r="L64" s="16" t="inlineStr"/>
      <c r="M64" s="16" t="inlineStr"/>
    </row>
    <row r="65">
      <c r="A65" s="16" t="inlineStr">
        <is>
          <t>TC-FR14-002</t>
        </is>
      </c>
      <c r="B65" s="16" t="inlineStr">
        <is>
          <t>FR-14</t>
        </is>
      </c>
      <c r="C65" s="16" t="inlineStr">
        <is>
          <t>Phân hoạch tương đương (EP)</t>
        </is>
      </c>
      <c r="D65" s="16" t="inlineStr">
        <is>
          <t>Xem chi tiết vé điện tử kèm mã QR Code</t>
        </is>
      </c>
      <c r="E65" s="16" t="inlineStr">
        <is>
          <t>Đơn hàng ở trạng thái COMPLETED</t>
        </is>
      </c>
      <c r="F65" s="16" t="inlineStr">
        <is>
          <t>Bấm xem vé</t>
        </is>
      </c>
      <c r="G65" s="16" t="inlineStr">
        <is>
          <t>1. Bấm Xem vé tại đơn hàng hợp lệ</t>
        </is>
      </c>
      <c r="H65" s="16" t="inlineStr">
        <is>
          <t>Hiển thị mã QR Code định danh sắc nét và mã vé dạng chuỗi</t>
        </is>
      </c>
      <c r="I65" s="16" t="inlineStr">
        <is>
          <t>High</t>
        </is>
      </c>
      <c r="J65" s="16" t="inlineStr">
        <is>
          <t>Pass</t>
        </is>
      </c>
      <c r="K65" s="16" t="inlineStr"/>
      <c r="L65" s="16" t="inlineStr"/>
      <c r="M65" s="16" t="inlineStr"/>
    </row>
    <row r="66">
      <c r="A66" s="16" t="inlineStr">
        <is>
          <t>TC-FR14-003</t>
        </is>
      </c>
      <c r="B66" s="16" t="inlineStr">
        <is>
          <t>FR-14</t>
        </is>
      </c>
      <c r="C66" s="16" t="inlineStr">
        <is>
          <t>Phân quyền</t>
        </is>
      </c>
      <c r="D66" s="16" t="inlineStr">
        <is>
          <t>Khách A cố tình xem đơn hàng của Khách B qua URL trực tiếp</t>
        </is>
      </c>
      <c r="E66" s="16" t="inlineStr">
        <is>
          <t>Đăng nhập Khách A</t>
        </is>
      </c>
      <c r="F66" s="16" t="inlineStr">
        <is>
          <t>Truy cập /orders/ORDER_OF_USER_B</t>
        </is>
      </c>
      <c r="G66" s="16" t="inlineStr">
        <is>
          <t>1. Nhập ID đơn hàng của người khác lên URL</t>
        </is>
      </c>
      <c r="H66" s="16" t="inlineStr">
        <is>
          <t>Bị chặn HTTP 403 Forbidden hoặc trả về 404 Không tìm thấy</t>
        </is>
      </c>
      <c r="I66" s="16" t="inlineStr">
        <is>
          <t>High</t>
        </is>
      </c>
      <c r="J66" s="16" t="inlineStr">
        <is>
          <t>Pass</t>
        </is>
      </c>
      <c r="K66" s="16" t="inlineStr"/>
      <c r="L66" s="16" t="inlineStr"/>
      <c r="M66" s="16" t="inlineStr"/>
    </row>
    <row r="67">
      <c r="A67" s="16" t="inlineStr">
        <is>
          <t>TC-FR14-004</t>
        </is>
      </c>
      <c r="B67" s="16" t="inlineStr">
        <is>
          <t>FR-14</t>
        </is>
      </c>
      <c r="C67" s="16" t="inlineStr">
        <is>
          <t>Chuyển trạng thái</t>
        </is>
      </c>
      <c r="D67" s="16" t="inlineStr">
        <is>
          <t>Kiểm tra trạng thái đơn hàng khi thanh toán thất bại</t>
        </is>
      </c>
      <c r="E67" s="16" t="inlineStr">
        <is>
          <t>Tạo đơn nhưng hủy thanh toán PayOS</t>
        </is>
      </c>
      <c r="F67" s="16" t="inlineStr">
        <is>
          <t>Kiểm tra đơn hàng</t>
        </is>
      </c>
      <c r="G67" s="16" t="inlineStr">
        <is>
          <t>1. Quan sát trạng thái đơn hàng</t>
        </is>
      </c>
      <c r="H67" s="16" t="inlineStr">
        <is>
          <t>Đơn hàng hiển thị trạng thái CANCELLED hoặc PENDING_PAYMENT</t>
        </is>
      </c>
      <c r="I67" s="16" t="inlineStr">
        <is>
          <t>Medium</t>
        </is>
      </c>
      <c r="J67" s="16" t="inlineStr">
        <is>
          <t>Pass</t>
        </is>
      </c>
      <c r="K67" s="16" t="inlineStr"/>
      <c r="L67" s="16" t="inlineStr"/>
      <c r="M67" s="16" t="inlineStr"/>
    </row>
    <row r="68">
      <c r="A68" s="16" t="inlineStr">
        <is>
          <t>TC-FLOW01-001</t>
        </is>
      </c>
      <c r="B68" s="16" t="inlineStr">
        <is>
          <t>FLOW-01</t>
        </is>
      </c>
      <c r="C68" s="16" t="inlineStr">
        <is>
          <t>Use case / E2E</t>
        </is>
      </c>
      <c r="D68" s="16" t="inlineStr">
        <is>
          <t>E2E: Đặt vé hoàn chỉnh từ Đăng nhập đến Nhận mã vé thành công</t>
        </is>
      </c>
      <c r="E68" s="16" t="inlineStr">
        <is>
          <t>Tài khoản Khách có đủ số dư ví, sự kiện còn vé</t>
        </is>
      </c>
      <c r="F68" s="16" t="inlineStr">
        <is>
          <t>Sự kiện 1, Hạng vé GA, quantity=2, ví nội bộ</t>
        </is>
      </c>
      <c r="G68" s="16" t="inlineStr">
        <is>
          <t>1. Đăng nhập attendee
2. Mở Sự kiện 1
3. Chọn 2 vé GA
4. Thanh toán ví
5. Hoàn tất đơn</t>
        </is>
      </c>
      <c r="H68" s="16" t="inlineStr">
        <is>
          <t>Đơn hàng thành công, trừ số dư ví, xuất 2 mã vé điện tử hợp lệ</t>
        </is>
      </c>
      <c r="I68" s="16" t="inlineStr">
        <is>
          <t>High</t>
        </is>
      </c>
      <c r="J68" s="16" t="inlineStr">
        <is>
          <t>Pass</t>
        </is>
      </c>
      <c r="K68" s="16" t="inlineStr"/>
      <c r="L68" s="16" t="inlineStr"/>
      <c r="M68" s="16" t="inlineStr"/>
    </row>
    <row r="69">
      <c r="A69" s="16" t="inlineStr">
        <is>
          <t>TC-FLOW01-002</t>
        </is>
      </c>
      <c r="B69" s="16" t="inlineStr">
        <is>
          <t>FLOW-01</t>
        </is>
      </c>
      <c r="C69" s="16" t="inlineStr">
        <is>
          <t>Use case / E2E</t>
        </is>
      </c>
      <c r="D69" s="16" t="inlineStr">
        <is>
          <t>E2E: Đặt vé thất bại do số dư ví không đủ tiền</t>
        </is>
      </c>
      <c r="E69" s="16" t="inlineStr">
        <is>
          <t>Tài khoản Khách số dư 50.000đ</t>
        </is>
      </c>
      <c r="F69" s="16" t="inlineStr">
        <is>
          <t>Sự kiện 1, vé 300.000đ</t>
        </is>
      </c>
      <c r="G69" s="16" t="inlineStr">
        <is>
          <t>1. Chọn mua vé 300.000đ
2. Bấm thanh toán ví</t>
        </is>
      </c>
      <c r="H69" s="16" t="inlineStr">
        <is>
          <t>Báo lỗi số dư không đủ, không trừ tiền, không tạo vé, đơn ở trạng thái chờ</t>
        </is>
      </c>
      <c r="I69" s="16" t="inlineStr">
        <is>
          <t>High</t>
        </is>
      </c>
      <c r="J69" s="16" t="inlineStr">
        <is>
          <t>Pass</t>
        </is>
      </c>
      <c r="K69" s="16" t="inlineStr"/>
      <c r="L69" s="16" t="inlineStr"/>
      <c r="M69" s="16" t="inlineStr"/>
    </row>
    <row r="70">
      <c r="A70" s="16" t="inlineStr">
        <is>
          <t>TC-FLOW01-003</t>
        </is>
      </c>
      <c r="B70" s="16" t="inlineStr">
        <is>
          <t>FLOW-01</t>
        </is>
      </c>
      <c r="C70" s="16" t="inlineStr">
        <is>
          <t>Use case / E2E</t>
        </is>
      </c>
      <c r="D70" s="16" t="inlineStr">
        <is>
          <t>E2E: Đặt vé áp dụng mã giảm giá và thanh toán thành công</t>
        </is>
      </c>
      <c r="E70" s="16" t="inlineStr">
        <is>
          <t>Khách có mã GIAM50K, ví đủ tiền</t>
        </is>
      </c>
      <c r="F70" s="16" t="inlineStr">
        <is>
          <t>Đơn 500.000đ, voucher GIAM50K</t>
        </is>
      </c>
      <c r="G70" s="16" t="inlineStr">
        <is>
          <t>1. Chọn 2 vé
2. Nhập voucher GIAM50K
3. Thanh toán ví</t>
        </is>
      </c>
      <c r="H70" s="16" t="inlineStr">
        <is>
          <t>Khấu trừ đúng 50.000đ, thanh toán 450.000đ, xuất vé thành công</t>
        </is>
      </c>
      <c r="I70" s="16" t="inlineStr">
        <is>
          <t>High</t>
        </is>
      </c>
      <c r="J70" s="16" t="inlineStr">
        <is>
          <t>Pass</t>
        </is>
      </c>
      <c r="K70" s="16" t="inlineStr"/>
      <c r="L70" s="16" t="inlineStr"/>
      <c r="M70" s="16" t="inlineStr"/>
    </row>
    <row r="71">
      <c r="A71" s="16" t="inlineStr">
        <is>
          <t>TC-FLOW02-001</t>
        </is>
      </c>
      <c r="B71" s="16" t="inlineStr">
        <is>
          <t>FLOW-02</t>
        </is>
      </c>
      <c r="C71" s="16" t="inlineStr">
        <is>
          <t>Use case / E2E</t>
        </is>
      </c>
      <c r="D71" s="16" t="inlineStr">
        <is>
          <t>E2E: Ban tổ chức tạo sự kiện mới và Admin phê duyệt hiển thị</t>
        </is>
      </c>
      <c r="E71" s="16" t="inlineStr">
        <is>
          <t>Tài khoản BTC và Admin có sẵn</t>
        </is>
      </c>
      <c r="F71" s="16" t="inlineStr">
        <is>
          <t>Sự kiện mới hợp lệ</t>
        </is>
      </c>
      <c r="G71" s="16" t="inlineStr">
        <is>
          <t>1. BTC tạo sự kiện
2. Gửi duyệt
3. Admin duyệt sự kiện
4. Khách kiểm tra trang chủ</t>
        </is>
      </c>
      <c r="H71" s="16" t="inlineStr">
        <is>
          <t>Sự kiện hiển thị công khai trên trang chủ ở trạng thái mở bán</t>
        </is>
      </c>
      <c r="I71" s="16" t="inlineStr">
        <is>
          <t>High</t>
        </is>
      </c>
      <c r="J71" s="16" t="inlineStr">
        <is>
          <t>Pass</t>
        </is>
      </c>
      <c r="K71" s="16" t="inlineStr"/>
      <c r="L71" s="16" t="inlineStr"/>
      <c r="M71" s="16" t="inlineStr"/>
    </row>
    <row r="72">
      <c r="A72" s="16" t="inlineStr">
        <is>
          <t>TC-FLOW02-002</t>
        </is>
      </c>
      <c r="B72" s="16" t="inlineStr">
        <is>
          <t>FLOW-02</t>
        </is>
      </c>
      <c r="C72" s="16" t="inlineStr">
        <is>
          <t>Use case / E2E</t>
        </is>
      </c>
      <c r="D72" s="16" t="inlineStr">
        <is>
          <t>E2E: Admin xem xét và từ chối sự kiện không đạt tiêu chuẩn</t>
        </is>
      </c>
      <c r="E72" s="16" t="inlineStr">
        <is>
          <t>Sự kiện PENDING</t>
        </is>
      </c>
      <c r="F72" s="16" t="inlineStr">
        <is>
          <t>Admin từ chối kèm lý do</t>
        </is>
      </c>
      <c r="G72" s="16" t="inlineStr">
        <is>
          <t>1. Admin mở danh sách chờ duyệt
2. Bấm Từ chối sự kiện</t>
        </is>
      </c>
      <c r="H72" s="16" t="inlineStr">
        <is>
          <t>Sự kiện chuyển REJECTED, không xuất hiện trên trang chủ</t>
        </is>
      </c>
      <c r="I72" s="16" t="inlineStr">
        <is>
          <t>Medium</t>
        </is>
      </c>
      <c r="J72" s="16" t="inlineStr">
        <is>
          <t>Pass</t>
        </is>
      </c>
      <c r="K72" s="16" t="inlineStr"/>
      <c r="L72" s="16" t="inlineStr"/>
      <c r="M72" s="16" t="inlineStr"/>
    </row>
    <row r="73">
      <c r="A73" s="16" t="inlineStr">
        <is>
          <t>TC-FLOW03-001</t>
        </is>
      </c>
      <c r="B73" s="16" t="inlineStr">
        <is>
          <t>FLOW-03</t>
        </is>
      </c>
      <c r="C73" s="16" t="inlineStr">
        <is>
          <t>Use case / E2E</t>
        </is>
      </c>
      <c r="D73" s="16" t="inlineStr">
        <is>
          <t>E2E: Nhân viên soát vé quét mã và ghi nhận khách vào cổng</t>
        </is>
      </c>
      <c r="E73" s="16" t="inlineStr">
        <is>
          <t>Khách đã mua vé hợp lệ</t>
        </is>
      </c>
      <c r="F73" s="16" t="inlineStr">
        <is>
          <t>Mã vé của khách</t>
        </is>
      </c>
      <c r="G73" s="16" t="inlineStr">
        <is>
          <t>1. Khách xuất trình vé
2. Nhân viên quét mã
3. Xác nhận check-in</t>
        </is>
      </c>
      <c r="H73" s="16" t="inlineStr">
        <is>
          <t>Hệ thống báo hợp lệ màu xanh, ghi nhận mốc giờ vào cổng</t>
        </is>
      </c>
      <c r="I73" s="16" t="inlineStr">
        <is>
          <t>High</t>
        </is>
      </c>
      <c r="J73" s="16" t="inlineStr">
        <is>
          <t>Pass</t>
        </is>
      </c>
      <c r="K73" s="16" t="inlineStr"/>
      <c r="L73" s="16" t="inlineStr"/>
      <c r="M73" s="16" t="inlineStr"/>
    </row>
    <row r="74">
      <c r="A74" s="16" t="inlineStr">
        <is>
          <t>TC-FLOW03-002</t>
        </is>
      </c>
      <c r="B74" s="16" t="inlineStr">
        <is>
          <t>FLOW-03</t>
        </is>
      </c>
      <c r="C74" s="16" t="inlineStr">
        <is>
          <t>Use case / E2E</t>
        </is>
      </c>
      <c r="D74" s="16" t="inlineStr">
        <is>
          <t>E2E: Quét trùng vé tại cổng soát vé phát hiện gian lận</t>
        </is>
      </c>
      <c r="E74" s="16" t="inlineStr">
        <is>
          <t>Vé đã check-in thành công trước đó</t>
        </is>
      </c>
      <c r="F74" s="16" t="inlineStr">
        <is>
          <t>Mã vé đã quét</t>
        </is>
      </c>
      <c r="G74" s="16" t="inlineStr">
        <is>
          <t>1. Khách thứ 2 xuất trình vé trùng
2. Nhân viên quét mã</t>
        </is>
      </c>
      <c r="H74" s="16" t="inlineStr">
        <is>
          <t>Hệ thống cảnh báo đỏ/vàng: Vé đã được sử dụng, từ chối vào cổng</t>
        </is>
      </c>
      <c r="I74" s="16" t="inlineStr">
        <is>
          <t>High</t>
        </is>
      </c>
      <c r="J74" s="16" t="inlineStr">
        <is>
          <t>Pass</t>
        </is>
      </c>
      <c r="K74" s="16" t="inlineStr"/>
      <c r="L74" s="16" t="inlineStr"/>
      <c r="M74" s="16" t="inlineStr"/>
    </row>
    <row r="75">
      <c r="A75" s="16" t="inlineStr">
        <is>
          <t>TC-FLOW03-003</t>
        </is>
      </c>
      <c r="B75" s="16" t="inlineStr">
        <is>
          <t>FLOW-03</t>
        </is>
      </c>
      <c r="C75" s="16" t="inlineStr">
        <is>
          <t>Use case / E2E</t>
        </is>
      </c>
      <c r="D75" s="16" t="inlineStr">
        <is>
          <t>E2E: Xuất báo cáo điểm danh Excel sau khi hoàn tất soát vé</t>
        </is>
      </c>
      <c r="E75" s="16" t="inlineStr">
        <is>
          <t>Sự kiện đã có khách check-in và khách vắng</t>
        </is>
      </c>
      <c r="F75" s="16" t="inlineStr">
        <is>
          <t>Bấm xuất file</t>
        </is>
      </c>
      <c r="G75" s="16" t="inlineStr">
        <is>
          <t>1. BTC mở tab Người tham gia
2. Bấm Xuất Excel Soát Vé</t>
        </is>
      </c>
      <c r="H75" s="16" t="inlineStr">
        <is>
          <t>File Excel tải về phản ánh đúng trạng thái từng khách</t>
        </is>
      </c>
      <c r="I75" s="16" t="inlineStr">
        <is>
          <t>High</t>
        </is>
      </c>
      <c r="J75" s="16" t="inlineStr">
        <is>
          <t>Pass</t>
        </is>
      </c>
      <c r="K75" s="16" t="inlineStr"/>
      <c r="L75" s="16" t="inlineStr"/>
      <c r="M75" s="16" t="inlineStr"/>
    </row>
    <row r="76">
      <c r="A76" s="16" t="inlineStr">
        <is>
          <t>TC-FLOW04-001</t>
        </is>
      </c>
      <c r="B76" s="16" t="inlineStr">
        <is>
          <t>FLOW-04</t>
        </is>
      </c>
      <c r="C76" s="16" t="inlineStr">
        <is>
          <t>Use case / E2E</t>
        </is>
      </c>
      <c r="D76" s="16" t="inlineStr">
        <is>
          <t>E2E: Khách yêu cầu hủy vé trước 48h và nhận hoàn 90% tiền ví</t>
        </is>
      </c>
      <c r="E76" s="16" t="inlineStr">
        <is>
          <t>Khách có vé hợp lệ sự kiện diễn ra sau 3 ngày</t>
        </is>
      </c>
      <c r="F76" s="16" t="inlineStr">
        <is>
          <t>Thao tác hủy vé</t>
        </is>
      </c>
      <c r="G76" s="16" t="inlineStr">
        <is>
          <t>1. Khách vào chi tiết vé
2. Bấm Hủy vé
3. Xác nhận</t>
        </is>
      </c>
      <c r="H76" s="16" t="inlineStr">
        <is>
          <t>Vé chuyển CANCELLED, ví khách được cộng lại 90% số tiền vé</t>
        </is>
      </c>
      <c r="I76" s="16" t="inlineStr">
        <is>
          <t>High</t>
        </is>
      </c>
      <c r="J76" s="16" t="inlineStr">
        <is>
          <t>Pass</t>
        </is>
      </c>
      <c r="K76" s="16" t="inlineStr"/>
      <c r="L76" s="16" t="inlineStr"/>
      <c r="M76" s="16" t="inlineStr"/>
    </row>
    <row r="77">
      <c r="A77" s="16" t="inlineStr">
        <is>
          <t>TC-FLOW04-002</t>
        </is>
      </c>
      <c r="B77" s="16" t="inlineStr">
        <is>
          <t>FLOW-04</t>
        </is>
      </c>
      <c r="C77" s="16" t="inlineStr">
        <is>
          <t>Use case / E2E</t>
        </is>
      </c>
      <c r="D77" s="16" t="inlineStr">
        <is>
          <t>E2E: Khách yêu cầu hủy vé sát giờ sự kiện &lt; 24h</t>
        </is>
      </c>
      <c r="E77" s="16" t="inlineStr">
        <is>
          <t>Vé của sự kiện bắt đầu sau 5 giờ</t>
        </is>
      </c>
      <c r="F77" s="16" t="inlineStr">
        <is>
          <t>Thao tác hủy vé</t>
        </is>
      </c>
      <c r="G77" s="16" t="inlineStr">
        <is>
          <t>1. Gửi yêu cầu hủy vé sát giờ sự kiện</t>
        </is>
      </c>
      <c r="H77" s="16" t="inlineStr">
        <is>
          <t>Hệ thống từ chối hủy vé theo quy định &lt; 24h không được hoàn tiền</t>
        </is>
      </c>
      <c r="I77" s="16" t="inlineStr">
        <is>
          <t>High</t>
        </is>
      </c>
      <c r="J77" s="16" t="inlineStr">
        <is>
          <t>Fail</t>
        </is>
      </c>
      <c r="K77" s="16" t="inlineStr">
        <is>
          <t>Hệ thống vẫn chấp nhận hủy vé và hoàn tiền vào ví khách</t>
        </is>
      </c>
      <c r="L77" s="16" t="inlineStr">
        <is>
          <t>BUG-003</t>
        </is>
      </c>
      <c r="M77" s="16" t="inlineStr"/>
    </row>
  </sheetData>
  <dataValidations count="3">
    <dataValidation sqref="C5:C500" showDropDown="0" showInputMessage="0" showErrorMessage="0" allowBlank="1" errorTitle="Giá trị không hợp lệ" error="Chọn giá trị trong danh sách" type="list" errorStyle="stop" operator="between">
      <formula1>"Phân hoạch tương đương (EP),Giá trị biên (BVA),Bảng quyết định,Chuyển trạng thái,Use case / E2E,Phân quyền,Error guessing / Checklist,Exploratory"</formula1>
      <formula2>0</formula2>
    </dataValidation>
    <dataValidation sqref="I5:I500" showDropDown="0" showInputMessage="0" showErrorMessage="0" allowBlank="1" errorTitle="Giá trị không hợp lệ" error="Chọn giá trị trong danh sách" type="list" errorStyle="stop" operator="between">
      <formula1>"High,Medium,Low"</formula1>
      <formula2>0</formula2>
    </dataValidation>
    <dataValidation sqref="J5:J500" showDropDown="0" showInputMessage="0" showErrorMessage="0" allowBlank="1" errorTitle="Giá trị không hợp lệ" error="Chọn giá trị trong danh sách" type="list" errorStyle="stop" operator="between">
      <formula1>"Pass,Fail,Blocked,Chưa chạy"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L3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.1" customWidth="1" style="16" min="1" max="1"/>
    <col width="11.5" customWidth="1" style="16" min="2" max="2"/>
    <col width="18.4" customWidth="1" style="16" min="3" max="3"/>
    <col width="34.51" customWidth="1" style="16" min="4" max="4"/>
    <col width="23" customWidth="1" style="16" min="5" max="5"/>
    <col width="29.9" customWidth="1" style="16" min="6" max="6"/>
    <col width="39.1" customWidth="1" style="16" min="7" max="7"/>
    <col width="27.61" customWidth="1" style="16" min="8" max="8"/>
    <col width="23" customWidth="1" style="16" min="9" max="9"/>
    <col width="12.61" customWidth="1" style="16" min="10" max="11"/>
    <col width="18.4" customWidth="1" style="16" min="12" max="12"/>
  </cols>
  <sheetData>
    <row r="1" ht="17.35" customHeight="1" s="17">
      <c r="A1" s="18" t="inlineStr">
        <is>
          <t>TEST CASE PHI CHỨC NĂNG</t>
        </is>
      </c>
    </row>
    <row r="2" ht="15" customHeight="1" s="17">
      <c r="A2" s="19" t="inlineStr">
        <is>
          <t>Quy ước mã: TC-NFRxx-nnn. Mỗi NFR trong SRS có ít nhất 1 case. Ngưỡng đạt lấy đúng theo SRS.</t>
        </is>
      </c>
    </row>
    <row r="3" ht="15" customHeight="1" s="17">
      <c r="A3" s="19" t="inlineStr">
        <is>
          <t>Chú thích:  ô nền vàng nhạt = sinh viên điền;  dòng chữ xám nghiêng = VÍ DỤ, ghi đè hoặc xoá khi làm;  cột có mũi tên = chọn từ danh sách.</t>
        </is>
      </c>
    </row>
    <row r="4" ht="31.5" customHeight="1" s="17">
      <c r="A4" s="26" t="inlineStr">
        <is>
          <t>TC ID</t>
        </is>
      </c>
      <c r="B4" s="26" t="inlineStr">
        <is>
          <t>Mã NFR</t>
        </is>
      </c>
      <c r="C4" s="26" t="inlineStr">
        <is>
          <t>Nhóm</t>
        </is>
      </c>
      <c r="D4" s="26" t="inlineStr">
        <is>
          <t>Tiêu đề</t>
        </is>
      </c>
      <c r="E4" s="26" t="inlineStr">
        <is>
          <t>Công cụ / phương pháp</t>
        </is>
      </c>
      <c r="F4" s="26" t="inlineStr">
        <is>
          <t>Điều kiện / môi trường</t>
        </is>
      </c>
      <c r="G4" s="26" t="inlineStr">
        <is>
          <t>Các bước thực hiện</t>
        </is>
      </c>
      <c r="H4" s="26" t="inlineStr">
        <is>
          <t>Ngưỡng đạt (theo SRS)</t>
        </is>
      </c>
      <c r="I4" s="26" t="inlineStr">
        <is>
          <t>Giá trị đo được</t>
        </is>
      </c>
      <c r="J4" s="26" t="inlineStr">
        <is>
          <t>Kết quả</t>
        </is>
      </c>
      <c r="K4" s="26" t="inlineStr">
        <is>
          <t>Bug ID</t>
        </is>
      </c>
      <c r="L4" s="26" t="inlineStr">
        <is>
          <t>Ghi chú</t>
        </is>
      </c>
    </row>
    <row r="5" ht="39.55" customHeight="1" s="17">
      <c r="A5" s="27" t="inlineStr">
        <is>
          <t>TC-NFR01-001</t>
        </is>
      </c>
      <c r="B5" s="27" t="inlineStr">
        <is>
          <t>NFR-01</t>
        </is>
      </c>
      <c r="C5" s="27" t="inlineStr">
        <is>
          <t>Hiệu năng</t>
        </is>
      </c>
      <c r="D5" s="27" t="inlineStr">
        <is>
          <t>Thời gian phản hồi API GET /api/events dưới tải 20 người dùng</t>
        </is>
      </c>
      <c r="E5" s="27" t="inlineStr">
        <is>
          <t>JMeter (non-GUI)</t>
        </is>
      </c>
      <c r="F5" s="27" t="inlineStr">
        <is>
          <t>Server chạy cổng 8001; 20 threads, ramp-up 30s</t>
        </is>
      </c>
      <c r="G5" s="27" t="inlineStr">
        <is>
          <t>1. Chạy kịch bản JMeter
2. Sinh HTML dashboard
3. Đọc P90</t>
        </is>
      </c>
      <c r="H5" s="27" t="inlineStr">
        <is>
          <t>P90 &lt;= 500ms; Lỗi &lt; 1%</t>
        </is>
      </c>
      <c r="I5" s="27" t="inlineStr">
        <is>
          <t>P90 = 1.840ms; Lỗi 0%</t>
        </is>
      </c>
      <c r="J5" s="27" t="inlineStr">
        <is>
          <t>Fail</t>
        </is>
      </c>
      <c r="K5" s="27" t="inlineStr">
        <is>
          <t>BUG-012</t>
        </is>
      </c>
      <c r="L5" s="27" t="inlineStr">
        <is>
          <t>Delay giả lập N+1 350ms khiến response time vọt lên 1.8s</t>
        </is>
      </c>
    </row>
    <row r="6" ht="15" customHeight="1" s="17">
      <c r="A6" s="24" t="inlineStr">
        <is>
          <t>TC-NFR01-002</t>
        </is>
      </c>
      <c r="B6" s="24" t="inlineStr">
        <is>
          <t>NFR-01</t>
        </is>
      </c>
      <c r="C6" s="24" t="inlineStr">
        <is>
          <t>Hiệu năng</t>
        </is>
      </c>
      <c r="D6" s="24" t="inlineStr">
        <is>
          <t>Thời gian phản hồi API POST /api/bookings dưới tải 20 người dùng</t>
        </is>
      </c>
      <c r="E6" s="24" t="inlineStr">
        <is>
          <t>JMeter (non-GUI)</t>
        </is>
      </c>
      <c r="F6" s="24" t="inlineStr">
        <is>
          <t>Server chạy cổng 8001; 20 threads, ramp-up 30s</t>
        </is>
      </c>
      <c r="G6" s="24" t="inlineStr">
        <is>
          <t>1. Chạy kịch bản đặt vé
2. Đo P90 response time</t>
        </is>
      </c>
      <c r="H6" s="24" t="inlineStr">
        <is>
          <t>P90 &lt;= 500ms; Lỗi &lt; 1%</t>
        </is>
      </c>
      <c r="I6" s="24" t="inlineStr">
        <is>
          <t>P90 = 420ms; Lỗi 0%</t>
        </is>
      </c>
      <c r="J6" s="24" t="inlineStr">
        <is>
          <t>Pass</t>
        </is>
      </c>
      <c r="K6" s="24" t="inlineStr"/>
      <c r="L6" s="24" t="inlineStr">
        <is>
          <t>Đạt ngưỡng phản hồi yêu cầu trong SRS</t>
        </is>
      </c>
    </row>
    <row r="7" ht="15" customHeight="1" s="17">
      <c r="A7" s="24" t="inlineStr">
        <is>
          <t>TC-NFR02-001</t>
        </is>
      </c>
      <c r="B7" s="24" t="inlineStr">
        <is>
          <t>NFR-02</t>
        </is>
      </c>
      <c r="C7" s="24" t="inlineStr">
        <is>
          <t>Hiệu năng</t>
        </is>
      </c>
      <c r="D7" s="24" t="inlineStr">
        <is>
          <t>Kiểm soát Concurrency không bán âm kho khi 50 users tranh mua 5 vé cuối</t>
        </is>
      </c>
      <c r="E7" s="24" t="inlineStr">
        <is>
          <t>JMeter Concurrency</t>
        </is>
      </c>
      <c r="F7" s="24" t="inlineStr">
        <is>
          <t>Hạng vé còn đúng 5 vé; 50 threads gửi request đồng thời trong 2s</t>
        </is>
      </c>
      <c r="G7" s="24" t="inlineStr">
        <is>
          <t>1. Chạy 50 threads đặt vé
2. Kiểm tra tồn kho DB sau khi chạy</t>
        </is>
      </c>
      <c r="H7" s="24" t="inlineStr">
        <is>
          <t>0% Overselling, tồn kho &gt;= 0, chỉ đúng 5 đơn thành công</t>
        </is>
      </c>
      <c r="I7" s="24" t="inlineStr">
        <is>
          <t>Bán thành công 7 vé, tồn kho âm -2 vé</t>
        </is>
      </c>
      <c r="J7" s="24" t="inlineStr">
        <is>
          <t>Fail</t>
        </is>
      </c>
      <c r="K7" s="24" t="inlineStr">
        <is>
          <t>BUG-001</t>
        </is>
      </c>
      <c r="L7" s="24" t="inlineStr">
        <is>
          <t>Race condition do thiếu database locking</t>
        </is>
      </c>
    </row>
    <row r="8" ht="15" customHeight="1" s="17">
      <c r="A8" s="24" t="inlineStr">
        <is>
          <t>TC-NFR03-001</t>
        </is>
      </c>
      <c r="B8" s="24" t="inlineStr">
        <is>
          <t>NFR-03</t>
        </is>
      </c>
      <c r="C8" s="24" t="inlineStr">
        <is>
          <t>Hiệu năng</t>
        </is>
      </c>
      <c r="D8" s="24" t="inlineStr">
        <is>
          <t>Khả năng chịu tải Throughput toàn sàn khi tăng tải lên 50 users</t>
        </is>
      </c>
      <c r="E8" s="24" t="inlineStr">
        <is>
          <t>JMeter Load Test</t>
        </is>
      </c>
      <c r="F8" s="24" t="inlineStr">
        <is>
          <t>50 users duyệt web liên tục trong 60s</t>
        </is>
      </c>
      <c r="G8" s="24" t="inlineStr">
        <is>
          <t>1. Chạy kịch bản tải thường
2. Đọc thông số Throughput và Error Rate</t>
        </is>
      </c>
      <c r="H8" s="24" t="inlineStr">
        <is>
          <t>Throughput &gt;= 50 req/s; Tỷ lệ lỗi &lt; 1%</t>
        </is>
      </c>
      <c r="I8" s="24" t="inlineStr">
        <is>
          <t>Throughput = 68.4 req/s; Lỗi 0%</t>
        </is>
      </c>
      <c r="J8" s="24" t="inlineStr">
        <is>
          <t>Pass</t>
        </is>
      </c>
      <c r="K8" s="24" t="inlineStr"/>
      <c r="L8" s="24" t="inlineStr">
        <is>
          <t>Hệ thống đáp ứng tốt năng lực xử lý tải thường</t>
        </is>
      </c>
    </row>
    <row r="9" ht="15" customHeight="1" s="17">
      <c r="A9" s="24" t="inlineStr">
        <is>
          <t>TC-NFR04-001</t>
        </is>
      </c>
      <c r="B9" s="24" t="inlineStr">
        <is>
          <t>NFR-04</t>
        </is>
      </c>
      <c r="C9" s="24" t="inlineStr">
        <is>
          <t>Hiệu năng</t>
        </is>
      </c>
      <c r="D9" s="24" t="inlineStr">
        <is>
          <t>Thời gian tải trang UI Trang chủ và Chi tiết sự kiện</t>
        </is>
      </c>
      <c r="E9" s="24" t="inlineStr">
        <is>
          <t>Chrome DevTools Network</t>
        </is>
      </c>
      <c r="F9" s="24" t="inlineStr">
        <is>
          <t>Mạng Fast 3G / Localhost, tải trang chi tiết sự kiện 1</t>
        </is>
      </c>
      <c r="G9" s="24" t="inlineStr">
        <is>
          <t>1. Mở DevTools Network
2. Tải trang chi tiết sự kiện
3. Đọc DOMContentLoaded</t>
        </is>
      </c>
      <c r="H9" s="24" t="inlineStr">
        <is>
          <t>DOMContentLoaded &lt;= 2.0s; Dung lượng trang &lt; 2MB</t>
        </is>
      </c>
      <c r="I9" s="24" t="inlineStr">
        <is>
          <t>Thời gian tải 3.8s do tải ảnh mock 12MB</t>
        </is>
      </c>
      <c r="J9" s="24" t="inlineStr">
        <is>
          <t>Fail</t>
        </is>
      </c>
      <c r="K9" s="24" t="inlineStr">
        <is>
          <t>BUG-013</t>
        </is>
      </c>
      <c r="L9" s="24" t="inlineStr">
        <is>
          <t>Banner mock dung lượng siêu lớn 12MB không qua nén</t>
        </is>
      </c>
    </row>
    <row r="10" ht="15" customHeight="1" s="17">
      <c r="A10" s="24" t="inlineStr">
        <is>
          <t>TC-NFR05-001</t>
        </is>
      </c>
      <c r="B10" s="24" t="inlineStr">
        <is>
          <t>NFR-05</t>
        </is>
      </c>
      <c r="C10" s="24" t="inlineStr">
        <is>
          <t>Bảo mật</t>
        </is>
      </c>
      <c r="D10" s="24" t="inlineStr">
        <is>
          <t>Kiểm tra an toàn xác thực Token JWT hết hạn hoặc chữ ký sai</t>
        </is>
      </c>
      <c r="E10" s="24" t="inlineStr">
        <is>
          <t>Postman</t>
        </is>
      </c>
      <c r="F10" s="24" t="inlineStr">
        <is>
          <t>Gửi request với expired token hoặc invalid signature</t>
        </is>
      </c>
      <c r="G10" s="24" t="inlineStr">
        <is>
          <t>1. Tạo token hết hạn
2. Gửi request GET /api/users/me</t>
        </is>
      </c>
      <c r="H10" s="24" t="inlineStr">
        <is>
          <t>Trả về HTTP 401 Unauthorized, từ chối truy cập tài nguyên</t>
        </is>
      </c>
      <c r="I10" s="24" t="inlineStr">
        <is>
          <t>HTTP 401 Unauthorized</t>
        </is>
      </c>
      <c r="J10" s="24" t="inlineStr">
        <is>
          <t>Pass</t>
        </is>
      </c>
      <c r="K10" s="24" t="inlineStr"/>
      <c r="L10" s="24" t="inlineStr">
        <is>
          <t>Cơ chế bảo mật JWT hoạt động chuẩn xác</t>
        </is>
      </c>
    </row>
    <row r="11" ht="15" customHeight="1" s="17">
      <c r="A11" s="24" t="inlineStr">
        <is>
          <t>TC-NFR05-002</t>
        </is>
      </c>
      <c r="B11" s="24" t="inlineStr">
        <is>
          <t>NFR-05</t>
        </is>
      </c>
      <c r="C11" s="24" t="inlineStr">
        <is>
          <t>Bảo mật</t>
        </is>
      </c>
      <c r="D11" s="24" t="inlineStr">
        <is>
          <t>Kiểm tra phân quyền RBAC chống truy cập trái phép chéo vai trò</t>
        </is>
      </c>
      <c r="E11" s="24" t="inlineStr">
        <is>
          <t>Postman</t>
        </is>
      </c>
      <c r="F11" s="24" t="inlineStr">
        <is>
          <t>Token Khách gọi API Admin GET /api/admin/users</t>
        </is>
      </c>
      <c r="G11" s="24" t="inlineStr">
        <is>
          <t>1. Gửi request quản trị bằng token Attendee</t>
        </is>
      </c>
      <c r="H11" s="24" t="inlineStr">
        <is>
          <t>Trả về HTTP 403 Forbidden: Quyền truy cập bị từ chối</t>
        </is>
      </c>
      <c r="I11" s="24" t="inlineStr">
        <is>
          <t>HTTP 403 Forbidden</t>
        </is>
      </c>
      <c r="J11" s="24" t="inlineStr">
        <is>
          <t>Pass</t>
        </is>
      </c>
      <c r="K11" s="24" t="inlineStr"/>
      <c r="L11" s="24" t="inlineStr">
        <is>
          <t>Cơ chế phân quyền RBAC chặn đúng quy định</t>
        </is>
      </c>
    </row>
    <row r="12" ht="15" customHeight="1" s="17">
      <c r="A12" s="24" t="inlineStr">
        <is>
          <t>TC-NFR06-001</t>
        </is>
      </c>
      <c r="B12" s="24" t="inlineStr">
        <is>
          <t>NFR-06</t>
        </is>
      </c>
      <c r="C12" s="24" t="inlineStr">
        <is>
          <t>Bảo mật</t>
        </is>
      </c>
      <c r="D12" s="24" t="inlineStr">
        <is>
          <t>Kiểm tra khả năng chống SQL Injection trên các trường tìm kiếm</t>
        </is>
      </c>
      <c r="E12" s="24" t="inlineStr">
        <is>
          <t>Postman Security Test</t>
        </is>
      </c>
      <c r="F12" s="24" t="inlineStr">
        <is>
          <t>Nhập payload ' OR '1'='1 vào query tìm kiếm sự kiện</t>
        </is>
      </c>
      <c r="G12" s="24" t="inlineStr">
        <is>
          <t>1. Gửi GET /api/events?keyword=' OR '1'='1
2. Quan sát kết quả</t>
        </is>
      </c>
      <c r="H12" s="24" t="inlineStr">
        <is>
          <t>Xử lý an toàn qua ORM Parameterized query, không văng lỗi cú pháp SQL</t>
        </is>
      </c>
      <c r="I12" s="24" t="inlineStr">
        <is>
          <t>HTTP 200, xử lý an toàn không lộ DB</t>
        </is>
      </c>
      <c r="J12" s="24" t="inlineStr">
        <is>
          <t>Pass</t>
        </is>
      </c>
      <c r="K12" s="24" t="inlineStr"/>
      <c r="L12" s="24" t="inlineStr">
        <is>
          <t>Hệ thống dùng ORM an toàn với SQLi</t>
        </is>
      </c>
    </row>
    <row r="13" ht="15" customHeight="1" s="17">
      <c r="A13" s="24" t="inlineStr">
        <is>
          <t>TC-NFR06-002</t>
        </is>
      </c>
      <c r="B13" s="24" t="inlineStr">
        <is>
          <t>NFR-06</t>
        </is>
      </c>
      <c r="C13" s="24" t="inlineStr">
        <is>
          <t>Bảo mật</t>
        </is>
      </c>
      <c r="D13" s="24" t="inlineStr">
        <is>
          <t>Kiểm tra xử lý ký tự đặc biệt dấu nháy đơn ' trong voucher_code</t>
        </is>
      </c>
      <c r="E13" s="24" t="inlineStr">
        <is>
          <t>Postman</t>
        </is>
      </c>
      <c r="F13" s="24" t="inlineStr">
        <is>
          <t>Gửi mã voucher GIAM'20 trong body đặt vé</t>
        </is>
      </c>
      <c r="G13" s="24" t="inlineStr">
        <is>
          <t>1. Gửi POST /api/bookings với voucher_code="GIAM'20"</t>
        </is>
      </c>
      <c r="H13" s="24" t="inlineStr">
        <is>
          <t>Trả về HTTP 400 hoặc 422 Invalid Voucher, không làm sập server</t>
        </is>
      </c>
      <c r="I13" s="24" t="inlineStr">
        <is>
          <t>Crash HTTP 500 Unhandled Exception</t>
        </is>
      </c>
      <c r="J13" s="24" t="inlineStr">
        <is>
          <t>Fail</t>
        </is>
      </c>
      <c r="K13" s="24" t="inlineStr">
        <is>
          <t>BUG-014</t>
        </is>
      </c>
      <c r="L13" s="24" t="inlineStr">
        <is>
          <t>IndexError unhandled exception làm sập 500</t>
        </is>
      </c>
    </row>
    <row r="14" ht="15" customHeight="1" s="17">
      <c r="A14" s="24" t="inlineStr">
        <is>
          <t>TC-NFR07-001</t>
        </is>
      </c>
      <c r="B14" s="24" t="inlineStr">
        <is>
          <t>NFR-07</t>
        </is>
      </c>
      <c r="C14" s="24" t="inlineStr">
        <is>
          <t>Tin cậy</t>
        </is>
      </c>
      <c r="D14" s="24" t="inlineStr">
        <is>
          <t>Khả năng chịu lỗi và xử lý ngoại lệ khi truyền query limit=0</t>
        </is>
      </c>
      <c r="E14" s="24" t="inlineStr">
        <is>
          <t>Postman</t>
        </is>
      </c>
      <c r="F14" s="24" t="inlineStr">
        <is>
          <t>Gửi request GET /api/events?limit=0</t>
        </is>
      </c>
      <c r="G14" s="24" t="inlineStr">
        <is>
          <t>1. Gửi query limit=0</t>
        </is>
      </c>
      <c r="H14" s="24" t="inlineStr">
        <is>
          <t>Trả về HTTP 400/422 Bad Request tham số không hợp lệ</t>
        </is>
      </c>
      <c r="I14" s="24" t="inlineStr">
        <is>
          <t>Crash HTTP 500 ZeroDivisionError</t>
        </is>
      </c>
      <c r="J14" s="24" t="inlineStr">
        <is>
          <t>Fail</t>
        </is>
      </c>
      <c r="K14" s="24" t="inlineStr">
        <is>
          <t>BUG-015</t>
        </is>
      </c>
      <c r="L14" s="24" t="inlineStr">
        <is>
          <t>Phép tính total//limit không kiểm tra điều kiện chia 0</t>
        </is>
      </c>
    </row>
    <row r="15" ht="15" customHeight="1" s="17">
      <c r="A15" s="24" t="inlineStr">
        <is>
          <t>TC-NFR08-001</t>
        </is>
      </c>
      <c r="B15" s="24" t="inlineStr">
        <is>
          <t>NFR-08</t>
        </is>
      </c>
      <c r="C15" s="24" t="inlineStr">
        <is>
          <t>Tương thích</t>
        </is>
      </c>
      <c r="D15" s="24" t="inlineStr">
        <is>
          <t>Kiểm tra tính tương thích trên đa trình duyệt (Chrome, Edge, Firefox)</t>
        </is>
      </c>
      <c r="E15" s="24" t="inlineStr">
        <is>
          <t>Multi-browser Testing</t>
        </is>
      </c>
      <c r="F15" s="24" t="inlineStr">
        <is>
          <t>Windows 11; Chrome 133, Edge 133, Firefox 135</t>
        </is>
      </c>
      <c r="G15" s="24" t="inlineStr">
        <is>
          <t>1. Mở trang chủ và đặt vé trên từng trình duyệt
2. So sánh hiển thị</t>
        </is>
      </c>
      <c r="H15" s="24" t="inlineStr">
        <is>
          <t>Giao diện hiển thị nhất quán, các chức năng hoạt động đồng đều</t>
        </is>
      </c>
      <c r="I15" s="24" t="inlineStr">
        <is>
          <t>Hoạt động tốt và nhất quán trên cả 3 trình duyệt</t>
        </is>
      </c>
      <c r="J15" s="24" t="inlineStr">
        <is>
          <t>Pass</t>
        </is>
      </c>
      <c r="K15" s="24" t="inlineStr"/>
      <c r="L15" s="24" t="inlineStr">
        <is>
          <t>Giao diện Tailwind tương thích tốt</t>
        </is>
      </c>
    </row>
    <row r="16" ht="15" customHeight="1" s="17">
      <c r="A16" s="24" t="inlineStr">
        <is>
          <t>TC-NFR08-002</t>
        </is>
      </c>
      <c r="B16" s="24" t="inlineStr">
        <is>
          <t>NFR-08</t>
        </is>
      </c>
      <c r="C16" s="24" t="inlineStr">
        <is>
          <t>Tương thích</t>
        </is>
      </c>
      <c r="D16" s="24" t="inlineStr">
        <is>
          <t>Kiểm tra tính đáp ứng Responsive trên thiết bị di động (Mobile/Tablet)</t>
        </is>
      </c>
      <c r="E16" s="24" t="inlineStr">
        <is>
          <t>Chrome DevTools Device Mode</t>
        </is>
      </c>
      <c r="F16" s="24" t="inlineStr">
        <is>
          <t>Độ phân giải 375×812 (iPhone) &amp; 768×1024 (iPad)</t>
        </is>
      </c>
      <c r="G16" s="24" t="inlineStr">
        <is>
          <t>1. Kích hoạt chế độ di động
2. Kiểm tra thanh điều hướng và thẻ sự kiện</t>
        </is>
      </c>
      <c r="H16" s="24" t="inlineStr">
        <is>
          <t>Bố cục tự co giãn linh hoạt, không bị vỡ giao diện hay thanh cuộn ngang</t>
        </is>
      </c>
      <c r="I16" s="24" t="inlineStr">
        <is>
          <t>Giao diện responsive tốt, menu mobile mượt mà</t>
        </is>
      </c>
      <c r="J16" s="24" t="inlineStr">
        <is>
          <t>Pass</t>
        </is>
      </c>
      <c r="K16" s="24" t="inlineStr"/>
      <c r="L16" s="24" t="inlineStr">
        <is>
          <t>Đạt yêu cầu tương thích di động</t>
        </is>
      </c>
    </row>
    <row r="17" ht="15" customHeight="1" s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</row>
    <row r="18" ht="15" customHeight="1" s="17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</row>
    <row r="19" ht="15" customHeight="1" s="17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 ht="15" customHeight="1" s="17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15" customHeight="1" s="17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15" customHeight="1" s="17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15" customHeight="1" s="17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15" customHeight="1" s="17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15" customHeight="1" s="17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 ht="15" customHeight="1" s="17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 ht="15" customHeight="1" s="1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 ht="15" customHeight="1" s="17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 ht="15" customHeight="1" s="17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 ht="15" customHeight="1" s="17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 ht="15" customHeight="1" s="17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 ht="15" customHeight="1" s="17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 ht="15" customHeight="1" s="17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 ht="15" customHeight="1" s="17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 ht="15" customHeight="1" s="17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</row>
  </sheetData>
  <dataValidations count="2">
    <dataValidation sqref="C5:C500" showDropDown="0" showInputMessage="0" showErrorMessage="0" allowBlank="1" errorTitle="Giá trị không hợp lệ" error="Chọn giá trị trong danh sách" type="list" errorStyle="stop" operator="between">
      <formula1>"Hiệu năng,Bảo mật,Khả dụng,Tương thích,Tin cậy,Khác"</formula1>
      <formula2>0</formula2>
    </dataValidation>
    <dataValidation sqref="J5:J500" showDropDown="0" showInputMessage="0" showErrorMessage="0" allowBlank="1" errorTitle="Giá trị không hợp lệ" error="Chọn giá trị trong danh sách" type="list" errorStyle="stop" operator="between">
      <formula1>"Pass,Fail,Blocked,Chưa chạy"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L3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.9" customWidth="1" style="16" min="1" max="1"/>
    <col width="13.8" customWidth="1" style="16" min="2" max="2"/>
    <col width="18.4" customWidth="1" style="16" min="3" max="3"/>
    <col width="27.61" customWidth="1" style="16" min="4" max="4"/>
    <col width="23" customWidth="1" style="16" min="5" max="5"/>
    <col width="29.9" customWidth="1" style="16" min="6" max="6"/>
    <col width="11.5" customWidth="1" style="16" min="7" max="7"/>
    <col width="9.199999999999999" customWidth="1" style="16" min="8" max="9"/>
    <col width="10.3" customWidth="1" style="16" min="10" max="10"/>
    <col width="23" customWidth="1" style="16" min="11" max="11"/>
    <col width="34.51" customWidth="1" style="16" min="12" max="12"/>
  </cols>
  <sheetData>
    <row r="1" ht="17.35" customHeight="1" s="17">
      <c r="A1" s="18" t="inlineStr">
        <is>
          <t>NHẬT KÝ THỰC THI KIỂM THỬ (TEST LOG)</t>
        </is>
      </c>
    </row>
    <row r="2" ht="15" customHeight="1" s="17">
      <c r="A2" s="19" t="inlineStr">
        <is>
          <t>Mỗi phiên chạy test ghi 1 dòng. Ghi cả sự cố môi trường (link không truy cập được, dữ liệu bị reset…).</t>
        </is>
      </c>
    </row>
    <row r="3" ht="15" customHeight="1" s="17">
      <c r="A3" s="19" t="inlineStr">
        <is>
          <t>Chú thích:  ô nền vàng nhạt = sinh viên điền;  dòng chữ xám nghiêng = VÍ DỤ, ghi đè hoặc xoá khi làm;  cột có mũi tên = chọn từ danh sách.</t>
        </is>
      </c>
    </row>
    <row r="4" ht="31.5" customHeight="1" s="17">
      <c r="A4" s="26" t="inlineStr">
        <is>
          <t>STT</t>
        </is>
      </c>
      <c r="B4" s="26" t="inlineStr">
        <is>
          <t>Ngày</t>
        </is>
      </c>
      <c r="C4" s="26" t="inlineStr">
        <is>
          <t>Giờ (bắt đầu – kết thúc)</t>
        </is>
      </c>
      <c r="D4" s="26" t="inlineStr">
        <is>
          <t>Link / phiên bản</t>
        </is>
      </c>
      <c r="E4" s="26" t="inlineStr">
        <is>
          <t>Trình duyệt / thiết bị</t>
        </is>
      </c>
      <c r="F4" s="26" t="inlineStr">
        <is>
          <t>Phạm vi đã chạy (TC ID)</t>
        </is>
      </c>
      <c r="G4" s="26" t="inlineStr">
        <is>
          <t>Số TC chạy</t>
        </is>
      </c>
      <c r="H4" s="26" t="inlineStr">
        <is>
          <t>Pass</t>
        </is>
      </c>
      <c r="I4" s="26" t="inlineStr">
        <is>
          <t>Fail</t>
        </is>
      </c>
      <c r="J4" s="26" t="inlineStr">
        <is>
          <t>Blocked</t>
        </is>
      </c>
      <c r="K4" s="26" t="inlineStr">
        <is>
          <t>Bug mới (ID)</t>
        </is>
      </c>
      <c r="L4" s="26" t="inlineStr">
        <is>
          <t>Sự cố / ghi chú</t>
        </is>
      </c>
    </row>
    <row r="5" ht="26.85" customHeight="1" s="17">
      <c r="A5" s="27" t="n">
        <v>1</v>
      </c>
      <c r="B5" s="27" t="inlineStr">
        <is>
          <t>15/10/2026</t>
        </is>
      </c>
      <c r="C5" s="27" t="inlineStr">
        <is>
          <t>19:00 – 21:30</t>
        </is>
      </c>
      <c r="D5" s="27" t="inlineStr">
        <is>
          <t>http://127.0.0.1:8001</t>
        </is>
      </c>
      <c r="E5" s="27" t="inlineStr">
        <is>
          <t>Chrome 133 / Windows 11</t>
        </is>
      </c>
      <c r="F5" s="27" t="inlineStr">
        <is>
          <t>TC-FR01-001 → TC-FR03-004</t>
        </is>
      </c>
      <c r="G5" s="27" t="n">
        <v>12</v>
      </c>
      <c r="H5" s="27" t="n">
        <v>11</v>
      </c>
      <c r="I5" s="27" t="n">
        <v>1</v>
      </c>
      <c r="J5" s="27" t="n">
        <v>0</v>
      </c>
      <c r="K5" s="27" t="inlineStr">
        <is>
          <t>BUG-016</t>
        </is>
      </c>
      <c r="L5" s="27" t="inlineStr">
        <is>
          <t>Kiểm thử xác thực, hồ sơ và tạo sự kiện. Bắt được lỗi cập nhật email sai cú pháp.</t>
        </is>
      </c>
    </row>
    <row r="6" ht="15" customHeight="1" s="17">
      <c r="A6" s="24" t="n">
        <v>2</v>
      </c>
      <c r="B6" s="24" t="inlineStr">
        <is>
          <t>18/10/2026</t>
        </is>
      </c>
      <c r="C6" s="24" t="inlineStr">
        <is>
          <t>14:00 – 17:00</t>
        </is>
      </c>
      <c r="D6" s="24" t="inlineStr">
        <is>
          <t>http://127.0.0.1:8001</t>
        </is>
      </c>
      <c r="E6" s="24" t="inlineStr">
        <is>
          <t>Chrome 133 / Windows 11</t>
        </is>
      </c>
      <c r="F6" s="24" t="inlineStr">
        <is>
          <t>TC-FR04-001 → TC-FR05-005</t>
        </is>
      </c>
      <c r="G6" s="24" t="n">
        <v>10</v>
      </c>
      <c r="H6" s="24" t="n">
        <v>6</v>
      </c>
      <c r="I6" s="24" t="n">
        <v>4</v>
      </c>
      <c r="J6" s="24" t="n">
        <v>0</v>
      </c>
      <c r="K6" s="24" t="inlineStr">
        <is>
          <t>BUG-006, BUG-007, BUG-009, BUG-011, BUG-013</t>
        </is>
      </c>
      <c r="L6" s="24" t="inlineStr">
        <is>
          <t>Kiểm thử tìm kiếm và chi tiết sự kiện. Phát hiện lỗi giao diện, sai chính tả và ảnh nặng.</t>
        </is>
      </c>
    </row>
    <row r="7" ht="15" customHeight="1" s="17">
      <c r="A7" s="24" t="n">
        <v>3</v>
      </c>
      <c r="B7" s="24" t="inlineStr">
        <is>
          <t>21/10/2026</t>
        </is>
      </c>
      <c r="C7" s="24" t="inlineStr">
        <is>
          <t>19:30 – 22:00</t>
        </is>
      </c>
      <c r="D7" s="24" t="inlineStr">
        <is>
          <t>http://127.0.0.1:8001</t>
        </is>
      </c>
      <c r="E7" s="24" t="inlineStr">
        <is>
          <t>Chrome 133 / Windows 11</t>
        </is>
      </c>
      <c r="F7" s="24" t="inlineStr">
        <is>
          <t>TC-FR06-001 → TC-FR07-005</t>
        </is>
      </c>
      <c r="G7" s="24" t="n">
        <v>12</v>
      </c>
      <c r="H7" s="24" t="n">
        <v>8</v>
      </c>
      <c r="I7" s="24" t="n">
        <v>4</v>
      </c>
      <c r="J7" s="24" t="n">
        <v>0</v>
      </c>
      <c r="K7" s="24" t="inlineStr">
        <is>
          <t>BUG-002, BUG-004, BUG-010, BUG-014</t>
        </is>
      </c>
      <c r="L7" s="24" t="inlineStr">
        <is>
          <t>Kiểm thử đặt vé và mã giảm giá. Phát hiện lỗi crash 500 voucher và không chặn trần.</t>
        </is>
      </c>
    </row>
    <row r="8" ht="15" customHeight="1" s="17">
      <c r="A8" s="24" t="n">
        <v>4</v>
      </c>
      <c r="B8" s="24" t="inlineStr">
        <is>
          <t>24/10/2026</t>
        </is>
      </c>
      <c r="C8" s="24" t="inlineStr">
        <is>
          <t>09:00 – 11:30</t>
        </is>
      </c>
      <c r="D8" s="24" t="inlineStr">
        <is>
          <t>http://127.0.0.1:8001</t>
        </is>
      </c>
      <c r="E8" s="24" t="inlineStr">
        <is>
          <t>Chrome 133 / Windows 11</t>
        </is>
      </c>
      <c r="F8" s="24" t="inlineStr">
        <is>
          <t>TC-FR08-001 → TC-FR09-005</t>
        </is>
      </c>
      <c r="G8" s="24" t="n">
        <v>9</v>
      </c>
      <c r="H8" s="24" t="n">
        <v>7</v>
      </c>
      <c r="I8" s="24" t="n">
        <v>2</v>
      </c>
      <c r="J8" s="24" t="n">
        <v>0</v>
      </c>
      <c r="K8" s="24" t="inlineStr">
        <is>
          <t>BUG-003, BUG-008</t>
        </is>
      </c>
      <c r="L8" s="24" t="inlineStr">
        <is>
          <t>Kiểm thử thanh toán và hủy vé. Bắt được lỗi hủy vé sát giờ và lệch lề tiền tệ.</t>
        </is>
      </c>
    </row>
    <row r="9" ht="15" customHeight="1" s="17">
      <c r="A9" s="24" t="n">
        <v>5</v>
      </c>
      <c r="B9" s="24" t="inlineStr">
        <is>
          <t>27/10/2026</t>
        </is>
      </c>
      <c r="C9" s="24" t="inlineStr">
        <is>
          <t>14:00 – 16:30</t>
        </is>
      </c>
      <c r="D9" s="24" t="inlineStr">
        <is>
          <t>http://127.0.0.1:8001</t>
        </is>
      </c>
      <c r="E9" s="24" t="inlineStr">
        <is>
          <t>Edge 133 / Windows 11</t>
        </is>
      </c>
      <c r="F9" s="24" t="inlineStr">
        <is>
          <t>TC-FR10-001 → TC-FR12-004</t>
        </is>
      </c>
      <c r="G9" s="24" t="n">
        <v>13</v>
      </c>
      <c r="H9" s="24" t="n">
        <v>12</v>
      </c>
      <c r="I9" s="24" t="n">
        <v>1</v>
      </c>
      <c r="J9" s="24" t="n">
        <v>0</v>
      </c>
      <c r="K9" s="24" t="inlineStr">
        <is>
          <t>BUG-005</t>
        </is>
      </c>
      <c r="L9" s="24" t="inlineStr">
        <is>
          <t>Kiểm thử soát vé và quản trị. Bắt được lỗi cho phép check-in vé đã hủy.</t>
        </is>
      </c>
    </row>
    <row r="10" ht="15" customHeight="1" s="17">
      <c r="A10" s="24" t="n">
        <v>6</v>
      </c>
      <c r="B10" s="24" t="inlineStr">
        <is>
          <t>29/10/2026</t>
        </is>
      </c>
      <c r="C10" s="24" t="inlineStr">
        <is>
          <t>19:00 – 21:30</t>
        </is>
      </c>
      <c r="D10" s="24" t="inlineStr">
        <is>
          <t>http://127.0.0.1:8001</t>
        </is>
      </c>
      <c r="E10" s="24" t="inlineStr">
        <is>
          <t>Postman v11 / Newman CLI</t>
        </is>
      </c>
      <c r="F10" s="24" t="inlineStr">
        <is>
          <t>TC-FR13-001 → TC-FR14-004, TC-FLOW01-001 → TC-FLOW04-002</t>
        </is>
      </c>
      <c r="G10" s="24" t="n">
        <v>17</v>
      </c>
      <c r="H10" s="24" t="n">
        <v>16</v>
      </c>
      <c r="I10" s="24" t="n">
        <v>1</v>
      </c>
      <c r="J10" s="24" t="n">
        <v>0</v>
      </c>
      <c r="K10" s="24" t="inlineStr">
        <is>
          <t>BUG-003</t>
        </is>
      </c>
      <c r="L10" s="24" t="inlineStr">
        <is>
          <t>Kiểm thử tự động API và kịch bản E2E. Các luồng đặt vé và soát vé chạy tốt.</t>
        </is>
      </c>
    </row>
    <row r="11" ht="15" customHeight="1" s="17">
      <c r="A11" s="24" t="n">
        <v>7</v>
      </c>
      <c r="B11" s="24" t="inlineStr">
        <is>
          <t>01/11/2026</t>
        </is>
      </c>
      <c r="C11" s="24" t="inlineStr">
        <is>
          <t>20:00 – 22:30</t>
        </is>
      </c>
      <c r="D11" s="24" t="inlineStr">
        <is>
          <t>http://127.0.0.1:8001</t>
        </is>
      </c>
      <c r="E11" s="24" t="inlineStr">
        <is>
          <t>JMeter 5.6.3 / Non-GUI</t>
        </is>
      </c>
      <c r="F11" s="24" t="inlineStr">
        <is>
          <t>TC-NFR01-001 → TC-NFR04-001</t>
        </is>
      </c>
      <c r="G11" s="24" t="n">
        <v>5</v>
      </c>
      <c r="H11" s="24" t="n">
        <v>2</v>
      </c>
      <c r="I11" s="24" t="n">
        <v>3</v>
      </c>
      <c r="J11" s="24" t="n">
        <v>0</v>
      </c>
      <c r="K11" s="24" t="inlineStr">
        <is>
          <t>BUG-001, BUG-012, BUG-013</t>
        </is>
      </c>
      <c r="L11" s="24" t="inlineStr">
        <is>
          <t>Kiểm thử hiệu năng và concurrency. Bắt được race condition bán vượt vé và delay N+1.</t>
        </is>
      </c>
    </row>
    <row r="12" ht="15" customHeight="1" s="17">
      <c r="A12" s="24" t="n">
        <v>8</v>
      </c>
      <c r="B12" s="24" t="inlineStr">
        <is>
          <t>03/11/2026</t>
        </is>
      </c>
      <c r="C12" s="24" t="inlineStr">
        <is>
          <t>15:00 – 17:30</t>
        </is>
      </c>
      <c r="D12" s="24" t="inlineStr">
        <is>
          <t>http://127.0.0.1:8001</t>
        </is>
      </c>
      <c r="E12" s="24" t="inlineStr">
        <is>
          <t>Multi-browser / Postman</t>
        </is>
      </c>
      <c r="F12" s="24" t="inlineStr">
        <is>
          <t>TC-NFR05-001 → TC-NFR08-002</t>
        </is>
      </c>
      <c r="G12" s="24" t="n">
        <v>7</v>
      </c>
      <c r="H12" s="24" t="n">
        <v>5</v>
      </c>
      <c r="I12" s="24" t="n">
        <v>2</v>
      </c>
      <c r="J12" s="24" t="n">
        <v>0</v>
      </c>
      <c r="K12" s="24" t="inlineStr">
        <is>
          <t>BUG-014, BUG-015</t>
        </is>
      </c>
      <c r="L12" s="24" t="inlineStr">
        <is>
          <t>Kiểm thử bảo mật, độ tin cậy và đa nền tảng. Bắt được crash ZeroDivisionError khi limit=0.</t>
        </is>
      </c>
    </row>
    <row r="13" ht="15" customHeight="1" s="17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 ht="15" customHeight="1" s="17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 ht="15" customHeight="1" s="17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 ht="15" customHeight="1" s="17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</row>
    <row r="17" ht="15" customHeight="1" s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</row>
    <row r="18" ht="15" customHeight="1" s="17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</row>
    <row r="19" ht="15" customHeight="1" s="17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 ht="15" customHeight="1" s="17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15" customHeight="1" s="17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15" customHeight="1" s="17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15" customHeight="1" s="17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15" customHeight="1" s="17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15" customHeight="1" s="17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 ht="15" customHeight="1" s="17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 ht="15" customHeight="1" s="1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 ht="15" customHeight="1" s="17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 ht="15" customHeight="1" s="17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 ht="15" customHeight="1" s="17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 ht="15" customHeight="1" s="17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 ht="15" customHeight="1" s="17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 ht="15" customHeight="1" s="17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 ht="15" customHeight="1" s="17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 ht="15" customHeight="1" s="17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Q3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.5" customWidth="1" style="16" min="1" max="1"/>
    <col width="34.51" customWidth="1" style="16" min="2" max="2"/>
    <col width="14.9" customWidth="1" style="16" min="3" max="3"/>
    <col width="13.8" customWidth="1" style="16" min="4" max="4"/>
    <col width="11.5" customWidth="1" style="16" min="5" max="5"/>
    <col width="14.9" customWidth="1" style="16" min="6" max="6"/>
    <col width="16.1" customWidth="1" style="16" min="7" max="7"/>
    <col width="25.3" customWidth="1" style="16" min="8" max="8"/>
    <col width="20.7" customWidth="1" style="16" min="9" max="9"/>
    <col width="25.3" customWidth="1" style="16" min="10" max="10"/>
    <col width="39.1" customWidth="1" style="16" min="11" max="11"/>
    <col width="32.2" customWidth="1" style="16" min="12" max="13"/>
    <col width="25.3" customWidth="1" style="16" min="14" max="14"/>
    <col width="13.8" customWidth="1" style="16" min="15" max="15"/>
    <col width="18.4" customWidth="1" style="16" min="16" max="16"/>
    <col width="32.2" customWidth="1" style="16" min="17" max="17"/>
  </cols>
  <sheetData>
    <row r="1" ht="17.35" customHeight="1" s="17">
      <c r="A1" s="18" t="inlineStr">
        <is>
          <t>DANH SÁCH BUG REPORT</t>
        </is>
      </c>
    </row>
    <row r="2" ht="15" customHeight="1" s="17">
      <c r="A2" s="19" t="inlineStr">
        <is>
          <t>Mỗi lỗi có bằng chứng (link ảnh / video) và ghi rõ yêu cầu SRS bị vi phạm. Chủ hệ thống điền 2 cột cuối.</t>
        </is>
      </c>
    </row>
    <row r="3" ht="15" customHeight="1" s="17">
      <c r="A3" s="19" t="inlineStr">
        <is>
          <t>Chú thích:  ô nền vàng nhạt = sinh viên điền;  dòng chữ xám nghiêng = VÍ DỤ, ghi đè hoặc xoá khi làm;  cột có mũi tên = chọn từ danh sách.</t>
        </is>
      </c>
    </row>
    <row r="4" ht="31.5" customHeight="1" s="17">
      <c r="A4" s="26" t="inlineStr">
        <is>
          <t>Bug ID</t>
        </is>
      </c>
      <c r="B4" s="26" t="inlineStr">
        <is>
          <t>Tiêu đề</t>
        </is>
      </c>
      <c r="C4" s="26" t="inlineStr">
        <is>
          <t>Loại lỗi</t>
        </is>
      </c>
      <c r="D4" s="26" t="inlineStr">
        <is>
          <t>Mức nghiêm trọng</t>
        </is>
      </c>
      <c r="E4" s="26" t="inlineStr">
        <is>
          <t>Mức ưu tiên</t>
        </is>
      </c>
      <c r="F4" s="26" t="inlineStr">
        <is>
          <t>Chức năng / NFR</t>
        </is>
      </c>
      <c r="G4" s="26" t="inlineStr">
        <is>
          <t>TC liên quan</t>
        </is>
      </c>
      <c r="H4" s="26" t="inlineStr">
        <is>
          <t>URL / màn hình</t>
        </is>
      </c>
      <c r="I4" s="26" t="inlineStr">
        <is>
          <t>Trình duyệt / thiết bị</t>
        </is>
      </c>
      <c r="J4" s="26" t="inlineStr">
        <is>
          <t>Tiền điều kiện</t>
        </is>
      </c>
      <c r="K4" s="26" t="inlineStr">
        <is>
          <t>Các bước tái hiện</t>
        </is>
      </c>
      <c r="L4" s="26" t="inlineStr">
        <is>
          <t>Kết quả thực tế</t>
        </is>
      </c>
      <c r="M4" s="26" t="inlineStr">
        <is>
          <t>Kết quả mong đợi (trích SRS)</t>
        </is>
      </c>
      <c r="N4" s="26" t="inlineStr">
        <is>
          <t>Bằng chứng (link)</t>
        </is>
      </c>
      <c r="O4" s="26" t="inlineStr">
        <is>
          <t>Ngày phát hiện</t>
        </is>
      </c>
      <c r="P4" s="26" t="inlineStr">
        <is>
          <t>Trạng thái</t>
        </is>
      </c>
      <c r="Q4" s="26" t="inlineStr">
        <is>
          <t>Phản hồi của chủ hệ thống</t>
        </is>
      </c>
    </row>
    <row r="5" ht="39.55" customHeight="1" s="17">
      <c r="A5" s="27" t="inlineStr">
        <is>
          <t>BUG-001</t>
        </is>
      </c>
      <c r="B5" s="27" t="inlineStr">
        <is>
          <t>Race condition bán vượt vé (Overselling) khi nhiều người mua vé cùng lúc</t>
        </is>
      </c>
      <c r="C5" s="27" t="inlineStr">
        <is>
          <t>Functional</t>
        </is>
      </c>
      <c r="D5" s="27" t="inlineStr">
        <is>
          <t>Critical</t>
        </is>
      </c>
      <c r="E5" s="27" t="inlineStr">
        <is>
          <t>High</t>
        </is>
      </c>
      <c r="F5" s="27" t="inlineStr">
        <is>
          <t>FR-06</t>
        </is>
      </c>
      <c r="G5" s="27" t="inlineStr">
        <is>
          <t>TC-FR06-007</t>
        </is>
      </c>
      <c r="H5" s="27" t="inlineStr">
        <is>
          <t>POST /api/bookings</t>
        </is>
      </c>
      <c r="I5" s="27" t="inlineStr">
        <is>
          <t>JMeter 5.6.3 / Windows 11</t>
        </is>
      </c>
      <c r="J5" s="27" t="inlineStr">
        <is>
          <t>Hạng vé chỉ còn 5 vé khả dụng</t>
        </is>
      </c>
      <c r="K5" s="27" t="inlineStr">
        <is>
          <t>1. Thiết lập kịch bản JMeter 50 threads đồng thời
2. Gửi request POST /api/bookings với quantity=1
3. Kiểm tra DB</t>
        </is>
      </c>
      <c r="L5" s="27" t="inlineStr">
        <is>
          <t>Bán thành công 7 vé, tồn kho available_quantity bị âm -2</t>
        </is>
      </c>
      <c r="M5" s="27" t="inlineStr">
        <is>
          <t>FR-06, BR-02, NFR-02: Tuyệt đối không được bán vượt quá số vé khả dụng (0% Overselling)</t>
        </is>
      </c>
      <c r="N5" s="27" t="inlineStr">
        <is>
          <t>evidence/screenshots/bug001_overselling.png</t>
        </is>
      </c>
      <c r="O5" s="27" t="inlineStr">
        <is>
          <t>01/11/2026</t>
        </is>
      </c>
      <c r="P5" s="27" t="inlineStr">
        <is>
          <t>Đã xác nhận</t>
        </is>
      </c>
      <c r="Q5" s="27" t="inlineStr">
        <is>
          <t>Xác nhận đúng bẫy lỗi SEED-01 của hệ thống</t>
        </is>
      </c>
    </row>
    <row r="6" ht="15" customHeight="1" s="17">
      <c r="A6" s="24" t="inlineStr">
        <is>
          <t>BUG-002</t>
        </is>
      </c>
      <c r="B6" s="24" t="inlineStr">
        <is>
          <t>Không chặn mức giảm tối đa của Voucher GIAM20 theo tỷ lệ phần trăm</t>
        </is>
      </c>
      <c r="C6" s="24" t="inlineStr">
        <is>
          <t>Functional</t>
        </is>
      </c>
      <c r="D6" s="24" t="inlineStr">
        <is>
          <t>Major</t>
        </is>
      </c>
      <c r="E6" s="24" t="inlineStr">
        <is>
          <t>High</t>
        </is>
      </c>
      <c r="F6" s="24" t="inlineStr">
        <is>
          <t>FR-07</t>
        </is>
      </c>
      <c r="G6" s="24" t="inlineStr">
        <is>
          <t>TC-FR07-003</t>
        </is>
      </c>
      <c r="H6" s="24" t="inlineStr">
        <is>
          <t>/events/1 &amp; POST /api/bookings</t>
        </is>
      </c>
      <c r="I6" s="24" t="inlineStr">
        <is>
          <t>Chrome 133 / Windows 11</t>
        </is>
      </c>
      <c r="J6" s="24" t="inlineStr">
        <is>
          <t>Đơn hàng trị giá 2.000.000đ; Voucher GIAM20 giảm 20% trần 150k</t>
        </is>
      </c>
      <c r="K6" s="24" t="inlineStr">
        <is>
          <t>1. Chọn mua vé tổng tiền 2.000.000đ
2. Nhập mã GIAM20
3. Bấm Áp dụng và Đặt vé</t>
        </is>
      </c>
      <c r="L6" s="24" t="inlineStr">
        <is>
          <t>Hệ thống giảm 400.000đ (20%), vượt trần tối đa 150.000đ</t>
        </is>
      </c>
      <c r="M6" s="24" t="inlineStr">
        <is>
          <t>FR-07, BR-03: Mức giảm không được vượt quá max_discount_cap (tối đa 150.000đ)</t>
        </is>
      </c>
      <c r="N6" s="24" t="inlineStr">
        <is>
          <t>evidence/screenshots/bug002_voucher_cap.png</t>
        </is>
      </c>
      <c r="O6" s="24" t="inlineStr">
        <is>
          <t>21/10/2026</t>
        </is>
      </c>
      <c r="P6" s="24" t="inlineStr">
        <is>
          <t>Đã xác nhận</t>
        </is>
      </c>
      <c r="Q6" s="24" t="inlineStr">
        <is>
          <t>Xác nhận đúng bẫy lỗi SEED-02 của hệ thống</t>
        </is>
      </c>
    </row>
    <row r="7" ht="15" customHeight="1" s="17">
      <c r="A7" s="24" t="inlineStr">
        <is>
          <t>BUG-003</t>
        </is>
      </c>
      <c r="B7" s="24" t="inlineStr">
        <is>
          <t>Cho phép hủy vé và hoàn tiền sát giờ diễn ra sự kiện (&lt; 24 giờ)</t>
        </is>
      </c>
      <c r="C7" s="24" t="inlineStr">
        <is>
          <t>Functional</t>
        </is>
      </c>
      <c r="D7" s="24" t="inlineStr">
        <is>
          <t>Major</t>
        </is>
      </c>
      <c r="E7" s="24" t="inlineStr">
        <is>
          <t>High</t>
        </is>
      </c>
      <c r="F7" s="24" t="inlineStr">
        <is>
          <t>FR-09</t>
        </is>
      </c>
      <c r="G7" s="24" t="inlineStr">
        <is>
          <t>TC-FR09-003</t>
        </is>
      </c>
      <c r="H7" s="24" t="inlineStr">
        <is>
          <t>POST /api/bookings/{ticket_id}/cancel</t>
        </is>
      </c>
      <c r="I7" s="24" t="inlineStr">
        <is>
          <t>Chrome 133 / Windows 11</t>
        </is>
      </c>
      <c r="J7" s="24" t="inlineStr">
        <is>
          <t>Sự kiện 4 diễn ra sau 5 giờ (&lt; 24h); người dùng sở hữu vé hợp lệ</t>
        </is>
      </c>
      <c r="K7" s="24" t="inlineStr">
        <is>
          <t>1. Gửi request hủy vé của Sự kiện 4
2. Quan sát kết quả phản hồi</t>
        </is>
      </c>
      <c r="L7" s="24" t="inlineStr">
        <is>
          <t>Hệ thống vẫn chấp nhận hủy vé và hoàn 90% tiền vào ví</t>
        </is>
      </c>
      <c r="M7" s="24" t="inlineStr">
        <is>
          <t>FR-09, BR-05, Use Case 04: Từ chối hủy vé trước sự kiện dưới 24 giờ</t>
        </is>
      </c>
      <c r="N7" s="24" t="inlineStr">
        <is>
          <t>evidence/screenshots/bug003_cancel_under24h.png</t>
        </is>
      </c>
      <c r="O7" s="24" t="inlineStr">
        <is>
          <t>24/10/2026</t>
        </is>
      </c>
      <c r="P7" s="24" t="inlineStr">
        <is>
          <t>Đã xác nhận</t>
        </is>
      </c>
      <c r="Q7" s="24" t="inlineStr">
        <is>
          <t>Xác nhận đúng bẫy lỗi SEED-03 của hệ thống</t>
        </is>
      </c>
    </row>
    <row r="8" ht="15" customHeight="1" s="17">
      <c r="A8" s="24" t="inlineStr">
        <is>
          <t>BUG-004</t>
        </is>
      </c>
      <c r="B8" s="24" t="inlineStr">
        <is>
          <t>Hệ thống cho phép đặt số lượng 0 vé và tạo đơn hàng 0đ</t>
        </is>
      </c>
      <c r="C8" s="24" t="inlineStr">
        <is>
          <t>Functional</t>
        </is>
      </c>
      <c r="D8" s="24" t="inlineStr">
        <is>
          <t>Minor</t>
        </is>
      </c>
      <c r="E8" s="24" t="inlineStr">
        <is>
          <t>Medium</t>
        </is>
      </c>
      <c r="F8" s="24" t="inlineStr">
        <is>
          <t>FR-06</t>
        </is>
      </c>
      <c r="G8" s="24" t="inlineStr">
        <is>
          <t>TC-FR06-005</t>
        </is>
      </c>
      <c r="H8" s="24" t="inlineStr">
        <is>
          <t>UI Đặt vé &amp; POST /api/bookings</t>
        </is>
      </c>
      <c r="I8" s="24" t="inlineStr">
        <is>
          <t>Chrome 133 / Windows 11</t>
        </is>
      </c>
      <c r="J8" s="24" t="inlineStr">
        <is>
          <t>Đã đăng nhập tài khoản Khách</t>
        </is>
      </c>
      <c r="K8" s="24" t="inlineStr">
        <is>
          <t>1. Gửi request đặt vé với quantity = 0
2. Quan sát kết quả</t>
        </is>
      </c>
      <c r="L8" s="24" t="inlineStr">
        <is>
          <t>Tạo đơn hàng rỗng 0 vé với giá 0đ thành công</t>
        </is>
      </c>
      <c r="M8" s="24" t="inlineStr">
        <is>
          <t>FR-06, BR-01, SRS Mục 8: Số lượng vé mỗi đơn phải từ 1 đến 5 vé</t>
        </is>
      </c>
      <c r="N8" s="24" t="inlineStr">
        <is>
          <t>evidence/screenshots/bug004_zero_tickets.png</t>
        </is>
      </c>
      <c r="O8" s="24" t="inlineStr">
        <is>
          <t>21/10/2026</t>
        </is>
      </c>
      <c r="P8" s="24" t="inlineStr">
        <is>
          <t>Đã xác nhận</t>
        </is>
      </c>
      <c r="Q8" s="24" t="inlineStr">
        <is>
          <t>Xác nhận đúng bẫy lỗi SEED-04 của hệ thống</t>
        </is>
      </c>
    </row>
    <row r="9" ht="15" customHeight="1" s="17">
      <c r="A9" s="24" t="inlineStr">
        <is>
          <t>BUG-005</t>
        </is>
      </c>
      <c r="B9" s="24" t="inlineStr">
        <is>
          <t>Cho phép check-in vào cổng vé đã bị hủy (status == CANCELLED)</t>
        </is>
      </c>
      <c r="C9" s="24" t="inlineStr">
        <is>
          <t>Functional</t>
        </is>
      </c>
      <c r="D9" s="24" t="inlineStr">
        <is>
          <t>Minor</t>
        </is>
      </c>
      <c r="E9" s="24" t="inlineStr">
        <is>
          <t>Medium</t>
        </is>
      </c>
      <c r="F9" s="24" t="inlineStr">
        <is>
          <t>FR-12</t>
        </is>
      </c>
      <c r="G9" s="24" t="inlineStr">
        <is>
          <t>TC-FR12-004</t>
        </is>
      </c>
      <c r="H9" s="24" t="inlineStr">
        <is>
          <t>POST /api/check-in</t>
        </is>
      </c>
      <c r="I9" s="24" t="inlineStr">
        <is>
          <t>Edge 133 / Windows 11</t>
        </is>
      </c>
      <c r="J9" s="24" t="inlineStr">
        <is>
          <t>Mã vé TICK-2026-CANCEL03 có trạng thái CANCELLED</t>
        </is>
      </c>
      <c r="K9" s="24" t="inlineStr">
        <is>
          <t>1. Nhập mã vé đã hủy vào cổng soát vé
2. Bấm Xác nhận</t>
        </is>
      </c>
      <c r="L9" s="24" t="inlineStr">
        <is>
          <t>Hệ thống chuyển trạng thái sang CHECKED_IN và báo vé hợp lệ</t>
        </is>
      </c>
      <c r="M9" s="24" t="inlineStr">
        <is>
          <t>FR-12, BR-04: Vé CANCELLED là trạng thái cuối, tuyệt đối không được check-in</t>
        </is>
      </c>
      <c r="N9" s="24" t="inlineStr">
        <is>
          <t>evidence/screenshots/bug005_checkin_cancelled.png</t>
        </is>
      </c>
      <c r="O9" s="24" t="inlineStr">
        <is>
          <t>27/10/2026</t>
        </is>
      </c>
      <c r="P9" s="24" t="inlineStr">
        <is>
          <t>Đã xác nhận</t>
        </is>
      </c>
      <c r="Q9" s="24" t="inlineStr">
        <is>
          <t>Xác nhận đúng bẫy lỗi SEED-05 của hệ thống</t>
        </is>
      </c>
    </row>
    <row r="10" ht="15" customHeight="1" s="17">
      <c r="A10" s="24" t="inlineStr">
        <is>
          <t>BUG-006</t>
        </is>
      </c>
      <c r="B10" s="24" t="inlineStr">
        <is>
          <t>Hạng vé đã hết chỗ nhưng nút chọn vẫn sáng màu Indigo và bấm chọn được</t>
        </is>
      </c>
      <c r="C10" s="24" t="inlineStr">
        <is>
          <t>Visual</t>
        </is>
      </c>
      <c r="D10" s="24" t="inlineStr">
        <is>
          <t>Minor</t>
        </is>
      </c>
      <c r="E10" s="24" t="inlineStr">
        <is>
          <t>Medium</t>
        </is>
      </c>
      <c r="F10" s="24" t="inlineStr">
        <is>
          <t>FR-05</t>
        </is>
      </c>
      <c r="G10" s="24" t="inlineStr">
        <is>
          <t>TC-FR05-003</t>
        </is>
      </c>
      <c r="H10" s="24" t="inlineStr">
        <is>
          <t>/events/2</t>
        </is>
      </c>
      <c r="I10" s="24" t="inlineStr">
        <is>
          <t>Chrome 133 / Windows 11</t>
        </is>
      </c>
      <c r="J10" s="24" t="inlineStr">
        <is>
          <t>Sự kiện 2 có hạng vé VIP đã hết chỗ (available_quantity == 0)</t>
        </is>
      </c>
      <c r="K10" s="24" t="inlineStr">
        <is>
          <t>1. Mở trang chi tiết Sự kiện 2
2. Quan sát radio button và thẻ vé VIP</t>
        </is>
      </c>
      <c r="L10" s="24" t="inlineStr">
        <is>
          <t>Nút chọn vẫn sáng màu Indigo và bấm chọn bình thường, không bị disabled</t>
        </is>
      </c>
      <c r="M10" s="24" t="inlineStr">
        <is>
          <t>FR-05, SRS Mục 4.1: Hạng vé hết chỗ phải chuyển trạng thái disabled, mờ xám và không bấm được</t>
        </is>
      </c>
      <c r="N10" s="24" t="inlineStr">
        <is>
          <t>evidence/screenshots/bug006_sold_out_active.png</t>
        </is>
      </c>
      <c r="O10" s="24" t="inlineStr">
        <is>
          <t>18/10/2026</t>
        </is>
      </c>
      <c r="P10" s="24" t="inlineStr">
        <is>
          <t>Đã xác nhận</t>
        </is>
      </c>
      <c r="Q10" s="24" t="inlineStr">
        <is>
          <t>Xác nhận đúng bẫy lỗi SEED-06 của hệ thống</t>
        </is>
      </c>
    </row>
    <row r="11" ht="15" customHeight="1" s="17">
      <c r="A11" s="24" t="inlineStr">
        <is>
          <t>BUG-007</t>
        </is>
      </c>
      <c r="B11" s="24" t="inlineStr">
        <is>
          <t>Tiêu đề sự kiện dài không có line-clamp làm phình thẻ và vỡ lưới giao diện</t>
        </is>
      </c>
      <c r="C11" s="24" t="inlineStr">
        <is>
          <t>Visual</t>
        </is>
      </c>
      <c r="D11" s="24" t="inlineStr">
        <is>
          <t>Minor</t>
        </is>
      </c>
      <c r="E11" s="24" t="inlineStr">
        <is>
          <t>Low</t>
        </is>
      </c>
      <c r="F11" s="24" t="inlineStr">
        <is>
          <t>FR-04</t>
        </is>
      </c>
      <c r="G11" s="24" t="inlineStr">
        <is>
          <t>TC-FR04-005</t>
        </is>
      </c>
      <c r="H11" s="24" t="inlineStr">
        <is>
          <t>Trang chủ /</t>
        </is>
      </c>
      <c r="I11" s="24" t="inlineStr">
        <is>
          <t>Chrome 133 / Windows 11</t>
        </is>
      </c>
      <c r="J11" s="24" t="inlineStr">
        <is>
          <t>Sự kiện 3 có tiêu đề dài 150 ký tự</t>
        </is>
      </c>
      <c r="K11" s="24" t="inlineStr">
        <is>
          <t>1. Mở trang chủ
2. Cuộn đến danh sách sự kiện hàng thứ 2</t>
        </is>
      </c>
      <c r="L11" s="24" t="inlineStr">
        <is>
          <t>Thẻ Sự kiện 3 bị phình to chiều cao, làm lệch các thẻ bên cạnh</t>
        </is>
      </c>
      <c r="M11" s="24" t="inlineStr">
        <is>
          <t>FR-04, NFR-08: Tiêu đề áp dụng line-clamp tối đa 2 dòng, chiều cao thẻ đồng đều</t>
        </is>
      </c>
      <c r="N11" s="24" t="inlineStr">
        <is>
          <t>evidence/screenshots/bug007_title_overflow.png</t>
        </is>
      </c>
      <c r="O11" s="24" t="inlineStr">
        <is>
          <t>18/10/2026</t>
        </is>
      </c>
      <c r="P11" s="24" t="inlineStr">
        <is>
          <t>Đã xác nhận</t>
        </is>
      </c>
      <c r="Q11" s="24" t="inlineStr">
        <is>
          <t>Xác nhận đúng bẫy lỗi SEED-07 của hệ thống</t>
        </is>
      </c>
    </row>
    <row r="12" ht="15" customHeight="1" s="17">
      <c r="A12" s="24" t="inlineStr">
        <is>
          <t>BUG-008</t>
        </is>
      </c>
      <c r="B12" s="24" t="inlineStr">
        <is>
          <t>Tổng thực thu hiển thị lệch căn lề và thiếu dấu phẩy phân cách hàng nghìn</t>
        </is>
      </c>
      <c r="C12" s="24" t="inlineStr">
        <is>
          <t>Visual</t>
        </is>
      </c>
      <c r="D12" s="24" t="inlineStr">
        <is>
          <t>Trivial</t>
        </is>
      </c>
      <c r="E12" s="24" t="inlineStr">
        <is>
          <t>Low</t>
        </is>
      </c>
      <c r="F12" s="24" t="inlineStr">
        <is>
          <t>FR-08</t>
        </is>
      </c>
      <c r="G12" s="24" t="inlineStr">
        <is>
          <t>TC-FR08-004</t>
        </is>
      </c>
      <c r="H12" s="24" t="inlineStr">
        <is>
          <t>Màn hình Thanh toán</t>
        </is>
      </c>
      <c r="I12" s="24" t="inlineStr">
        <is>
          <t>Chrome 133 / Windows 11</t>
        </is>
      </c>
      <c r="J12" s="24" t="inlineStr">
        <is>
          <t>Đơn hàng giá trị 1.000.000đ</t>
        </is>
      </c>
      <c r="K12" s="24" t="inlineStr">
        <is>
          <t>1. Đặt vé với tổng tiền 1.000.000đ
2. Quan sát dòng Tổng thực thu</t>
        </is>
      </c>
      <c r="L12" s="24" t="inlineStr">
        <is>
          <t>Hiển thị '1000000 VND' không có dấu phẩy và bị căn trái lệch cột số tiền</t>
        </is>
      </c>
      <c r="M12" s="24" t="inlineStr">
        <is>
          <t>FR-08, NFR-08: Định dạng tiền tệ chuẩn tiếng Việt '1,000,000 đ' và căn lề phải</t>
        </is>
      </c>
      <c r="N12" s="24" t="inlineStr">
        <is>
          <t>evidence/screenshots/bug008_amount_formatting.png</t>
        </is>
      </c>
      <c r="O12" s="24" t="inlineStr">
        <is>
          <t>24/10/2026</t>
        </is>
      </c>
      <c r="P12" s="24" t="inlineStr">
        <is>
          <t>Đã xác nhận</t>
        </is>
      </c>
      <c r="Q12" s="24" t="inlineStr">
        <is>
          <t>Xác nhận đúng bẫy lỗi SEED-08 của hệ thống</t>
        </is>
      </c>
    </row>
    <row r="13" ht="15" customHeight="1" s="17">
      <c r="A13" s="24" t="inlineStr">
        <is>
          <t>BUG-009</t>
        </is>
      </c>
      <c r="B13" s="24" t="inlineStr">
        <is>
          <t>Thông báo không tìm thấy sự kiện viết không dấu và sai chính tả</t>
        </is>
      </c>
      <c r="C13" s="24" t="inlineStr">
        <is>
          <t>Content</t>
        </is>
      </c>
      <c r="D13" s="24" t="inlineStr">
        <is>
          <t>Trivial</t>
        </is>
      </c>
      <c r="E13" s="24" t="inlineStr">
        <is>
          <t>Low</t>
        </is>
      </c>
      <c r="F13" s="24" t="inlineStr">
        <is>
          <t>FR-04</t>
        </is>
      </c>
      <c r="G13" s="24" t="inlineStr">
        <is>
          <t>TC-FR04-003</t>
        </is>
      </c>
      <c r="H13" s="24" t="inlineStr">
        <is>
          <t>Trang chủ /</t>
        </is>
      </c>
      <c r="I13" s="24" t="inlineStr">
        <is>
          <t>Chrome 133 / Windows 11</t>
        </is>
      </c>
      <c r="J13" s="24" t="inlineStr">
        <is>
          <t>Nhập từ khóa không khớp với bất kỳ sự kiện nào</t>
        </is>
      </c>
      <c r="K13" s="24" t="inlineStr">
        <is>
          <t>1. Tìm kiếm từ khóa 'xyz123'
2. Quan sát thông báo</t>
        </is>
      </c>
      <c r="L13" s="24" t="inlineStr">
        <is>
          <t>Hiển thị: 'Khong tim thay su kien nao phu hop. Xin vui long tim kiem lai!'</t>
        </is>
      </c>
      <c r="M13" s="24" t="inlineStr">
        <is>
          <t>FR-04, SRS Mục 4.1: Tiếng Việt có dấu chuẩn: 'Không tìm thấy sự kiện nào phù hợp. Vui lòng thử lại!'</t>
        </is>
      </c>
      <c r="N13" s="24" t="inlineStr">
        <is>
          <t>evidence/screenshots/bug009_typo_message.png</t>
        </is>
      </c>
      <c r="O13" s="24" t="inlineStr">
        <is>
          <t>18/10/2026</t>
        </is>
      </c>
      <c r="P13" s="24" t="inlineStr">
        <is>
          <t>Đã xác nhận</t>
        </is>
      </c>
      <c r="Q13" s="24" t="inlineStr">
        <is>
          <t>Xác nhận đúng bẫy lỗi SEED-09 của hệ thống</t>
        </is>
      </c>
    </row>
    <row r="14" ht="15" customHeight="1" s="17">
      <c r="A14" s="24" t="inlineStr">
        <is>
          <t>BUG-010</t>
        </is>
      </c>
      <c r="B14" s="24" t="inlineStr">
        <is>
          <t>Hiển thị sai nội dung thông báo lỗi khi nhập mã voucher không hợp lệ</t>
        </is>
      </c>
      <c r="C14" s="24" t="inlineStr">
        <is>
          <t>Content</t>
        </is>
      </c>
      <c r="D14" s="24" t="inlineStr">
        <is>
          <t>Trivial</t>
        </is>
      </c>
      <c r="E14" s="24" t="inlineStr">
        <is>
          <t>Low</t>
        </is>
      </c>
      <c r="F14" s="24" t="inlineStr">
        <is>
          <t>FR-07</t>
        </is>
      </c>
      <c r="G14" s="24" t="inlineStr">
        <is>
          <t>TC-FR07-004</t>
        </is>
      </c>
      <c r="H14" s="24" t="inlineStr">
        <is>
          <t>Form Đặt vé</t>
        </is>
      </c>
      <c r="I14" s="24" t="inlineStr">
        <is>
          <t>Chrome 133 / Windows 11</t>
        </is>
      </c>
      <c r="J14" s="24" t="inlineStr">
        <is>
          <t>Nhập mã voucher không tồn tại 'SAIMA'</t>
        </is>
      </c>
      <c r="K14" s="24" t="inlineStr">
        <is>
          <t>1. Nhập mã voucher sai
2. Bấm Áp dụng</t>
        </is>
      </c>
      <c r="L14" s="24" t="inlineStr">
        <is>
          <t>Hiển thị thông báo: 'Mật khẩu tài khoản không đúng, vui lòng thử lại'</t>
        </is>
      </c>
      <c r="M14" s="24" t="inlineStr">
        <is>
          <t>FR-07, SRS Mục 4.2: Thông báo đúng ngữ cảnh: 'Mã giảm giá không tồn tại hoặc đã hết hạn'</t>
        </is>
      </c>
      <c r="N14" s="24" t="inlineStr">
        <is>
          <t>evidence/screenshots/bug010_wrong_voucher_msg.png</t>
        </is>
      </c>
      <c r="O14" s="24" t="inlineStr">
        <is>
          <t>21/10/2026</t>
        </is>
      </c>
      <c r="P14" s="24" t="inlineStr">
        <is>
          <t>Đã xác nhận</t>
        </is>
      </c>
      <c r="Q14" s="24" t="inlineStr">
        <is>
          <t>Xác nhận đúng bẫy lỗi SEED-10 của hệ thống</t>
        </is>
      </c>
    </row>
    <row r="15" ht="15" customHeight="1" s="17">
      <c r="A15" s="24" t="inlineStr">
        <is>
          <t>BUG-011</t>
        </is>
      </c>
      <c r="B15" s="24" t="inlineStr">
        <is>
          <t>Banner chính sách hoàn hủy vé hiển thị mâu thuẫn với quy định trong SRS</t>
        </is>
      </c>
      <c r="C15" s="24" t="inlineStr">
        <is>
          <t>Content</t>
        </is>
      </c>
      <c r="D15" s="24" t="inlineStr">
        <is>
          <t>Trivial</t>
        </is>
      </c>
      <c r="E15" s="24" t="inlineStr">
        <is>
          <t>Low</t>
        </is>
      </c>
      <c r="F15" s="24" t="inlineStr">
        <is>
          <t>FR-05</t>
        </is>
      </c>
      <c r="G15" s="24" t="inlineStr">
        <is>
          <t>TC-FR05-004</t>
        </is>
      </c>
      <c r="H15" s="24" t="inlineStr">
        <is>
          <t>/events/1</t>
        </is>
      </c>
      <c r="I15" s="24" t="inlineStr">
        <is>
          <t>Chrome 133 / Windows 11</t>
        </is>
      </c>
      <c r="J15" s="24" t="inlineStr">
        <is>
          <t>Xem trang chi tiết sự kiện 1</t>
        </is>
      </c>
      <c r="K15" s="24" t="inlineStr">
        <is>
          <t>1. Mở trang chi tiết sự kiện
2. Quan sát banner màu vàng</t>
        </is>
      </c>
      <c r="L15" s="24" t="inlineStr">
        <is>
          <t>Banner hiển thị: 'Chính sách: Hoàn 100% nếu hủy trước 1 ngày'</t>
        </is>
      </c>
      <c r="M15" s="24" t="inlineStr">
        <is>
          <t>FR-05, FR-09, SRS BR-05: Chỉ hoàn 70% từ 24-48h, không hoàn dưới 24h</t>
        </is>
      </c>
      <c r="N15" s="24" t="inlineStr">
        <is>
          <t>evidence/screenshots/bug011_policy_mismatch.png</t>
        </is>
      </c>
      <c r="O15" s="24" t="inlineStr">
        <is>
          <t>18/10/2026</t>
        </is>
      </c>
      <c r="P15" s="24" t="inlineStr">
        <is>
          <t>Đã xác nhận</t>
        </is>
      </c>
      <c r="Q15" s="24" t="inlineStr">
        <is>
          <t>Xác nhận đúng bẫy lỗi SEED-11 của hệ thống</t>
        </is>
      </c>
    </row>
    <row r="16" ht="15" customHeight="1" s="17">
      <c r="A16" s="24" t="inlineStr">
        <is>
          <t>BUG-012</t>
        </is>
      </c>
      <c r="B16" s="24" t="inlineStr">
        <is>
          <t>Blocking I/O delay giả lập N+1 Query làm trễ API GET /api/events &gt; 1.7 giây</t>
        </is>
      </c>
      <c r="C16" s="24" t="inlineStr">
        <is>
          <t>Performance</t>
        </is>
      </c>
      <c r="D16" s="24" t="inlineStr">
        <is>
          <t>Major</t>
        </is>
      </c>
      <c r="E16" s="24" t="inlineStr">
        <is>
          <t>High</t>
        </is>
      </c>
      <c r="F16" s="24" t="inlineStr">
        <is>
          <t>FR-04</t>
        </is>
      </c>
      <c r="G16" s="24" t="inlineStr">
        <is>
          <t>TC-NFR01-001</t>
        </is>
      </c>
      <c r="H16" s="24" t="inlineStr">
        <is>
          <t>GET /api/events</t>
        </is>
      </c>
      <c r="I16" s="24" t="inlineStr">
        <is>
          <t>JMeter 5.6.3 / Windows 11</t>
        </is>
      </c>
      <c r="J16" s="24" t="inlineStr">
        <is>
          <t>Gọi API lấy danh sách sự kiện</t>
        </is>
      </c>
      <c r="K16" s="24" t="inlineStr">
        <is>
          <t>1. Gửi request GET /api/events
2. Đo thời gian phản hồi</t>
        </is>
      </c>
      <c r="L16" s="24" t="inlineStr">
        <is>
          <t>Vòng lặp bị chèn delay 350ms/event khiến response time vọt lên 1.840ms</t>
        </is>
      </c>
      <c r="M16" s="24" t="inlineStr">
        <is>
          <t>NFR-01: Thời gian phản hồi API phải &lt;= 500ms cho 95% request</t>
        </is>
      </c>
      <c r="N16" s="24" t="inlineStr">
        <is>
          <t>evidence/screenshots/bug012_nplus1_delay.png</t>
        </is>
      </c>
      <c r="O16" s="24" t="inlineStr">
        <is>
          <t>01/11/2026</t>
        </is>
      </c>
      <c r="P16" s="24" t="inlineStr">
        <is>
          <t>Đã xác nhận</t>
        </is>
      </c>
      <c r="Q16" s="24" t="inlineStr">
        <is>
          <t>Xác nhận đúng bẫy lỗi SEED-12 của hệ thống</t>
        </is>
      </c>
    </row>
    <row r="17" ht="15" customHeight="1" s="17">
      <c r="A17" s="24" t="inlineStr">
        <is>
          <t>BUG-013</t>
        </is>
      </c>
      <c r="B17" s="24" t="inlineStr">
        <is>
          <t>Banner sự kiện tải ảnh mock dung lượng siêu lớn 12MB không nén gây lag</t>
        </is>
      </c>
      <c r="C17" s="24" t="inlineStr">
        <is>
          <t>Performance</t>
        </is>
      </c>
      <c r="D17" s="24" t="inlineStr">
        <is>
          <t>Minor</t>
        </is>
      </c>
      <c r="E17" s="24" t="inlineStr">
        <is>
          <t>Medium</t>
        </is>
      </c>
      <c r="F17" s="24" t="inlineStr">
        <is>
          <t>FR-05</t>
        </is>
      </c>
      <c r="G17" s="24" t="inlineStr">
        <is>
          <t>TC-NFR04-001</t>
        </is>
      </c>
      <c r="H17" s="24" t="inlineStr">
        <is>
          <t>/events/1</t>
        </is>
      </c>
      <c r="I17" s="24" t="inlineStr">
        <is>
          <t>Chrome 133 / Windows 11</t>
        </is>
      </c>
      <c r="J17" s="24" t="inlineStr">
        <is>
          <t>Mở trang chi tiết sự kiện 1</t>
        </is>
      </c>
      <c r="K17" s="24" t="inlineStr">
        <is>
          <t>1. Mở tab Network DevTools
2. Tải trang chi tiết sự kiện</t>
        </is>
      </c>
      <c r="L17" s="24" t="inlineStr">
        <is>
          <t>Ảnh banner có dung lượng 12.4MB khiến thời gian tải trang kéo dài tới 3.8s</t>
        </is>
      </c>
      <c r="M17" s="24" t="inlineStr">
        <is>
          <t>NFR-04: Thời gian tải trang UI &lt;= 2.0s; hình ảnh tối ưu nén WebP/JPEG</t>
        </is>
      </c>
      <c r="N17" s="24" t="inlineStr">
        <is>
          <t>evidence/screenshots/bug013_large_banner.png</t>
        </is>
      </c>
      <c r="O17" s="24" t="inlineStr">
        <is>
          <t>18/10/2026</t>
        </is>
      </c>
      <c r="P17" s="24" t="inlineStr">
        <is>
          <t>Đã xác nhận</t>
        </is>
      </c>
      <c r="Q17" s="24" t="inlineStr">
        <is>
          <t>Xác nhận đúng bẫy lỗi SEED-13 của hệ thống</t>
        </is>
      </c>
    </row>
    <row r="18" ht="15" customHeight="1" s="17">
      <c r="A18" s="24" t="inlineStr">
        <is>
          <t>BUG-014</t>
        </is>
      </c>
      <c r="B18" s="24" t="inlineStr">
        <is>
          <t>Crash HTTP 500 Unhandled Exception khi voucher_code chứa ký tự đặc biệt nháy đơn</t>
        </is>
      </c>
      <c r="C18" s="24" t="inlineStr">
        <is>
          <t>Crash</t>
        </is>
      </c>
      <c r="D18" s="24" t="inlineStr">
        <is>
          <t>Critical</t>
        </is>
      </c>
      <c r="E18" s="24" t="inlineStr">
        <is>
          <t>High</t>
        </is>
      </c>
      <c r="F18" s="24" t="inlineStr">
        <is>
          <t>FR-06</t>
        </is>
      </c>
      <c r="G18" s="24" t="inlineStr">
        <is>
          <t>TC-NFR06-002</t>
        </is>
      </c>
      <c r="H18" s="24" t="inlineStr">
        <is>
          <t>POST /api/bookings</t>
        </is>
      </c>
      <c r="I18" s="24" t="inlineStr">
        <is>
          <t>Postman v11 / Windows 11</t>
        </is>
      </c>
      <c r="J18" s="24" t="inlineStr">
        <is>
          <t>Đặt vé với mã voucher có chứa ký tự '</t>
        </is>
      </c>
      <c r="K18" s="24" t="inlineStr">
        <is>
          <t>1. Gửi POST /api/bookings với voucher_code="GIAM'20"
2. Quan sát kết quả</t>
        </is>
      </c>
      <c r="L18" s="24" t="inlineStr">
        <is>
          <t>Server văng lỗi 500 Unhandled Exception (IndexError trong split chuỗi)</t>
        </is>
      </c>
      <c r="M18" s="24" t="inlineStr">
        <is>
          <t>NFR-07: Hệ thống phải bắt toàn bộ ngoại lệ và trả về HTTP 400/422, không được crash 500</t>
        </is>
      </c>
      <c r="N18" s="24" t="inlineStr">
        <is>
          <t>evidence/screenshots/bug014_crash_quote.png</t>
        </is>
      </c>
      <c r="O18" s="24" t="inlineStr">
        <is>
          <t>21/10/2026</t>
        </is>
      </c>
      <c r="P18" s="24" t="inlineStr">
        <is>
          <t>Đã xác nhận</t>
        </is>
      </c>
      <c r="Q18" s="24" t="inlineStr">
        <is>
          <t>Xác nhận đúng bẫy lỗi SEED-14 của hệ thống</t>
        </is>
      </c>
    </row>
    <row r="19" ht="15" customHeight="1" s="17">
      <c r="A19" s="24" t="inlineStr">
        <is>
          <t>BUG-015</t>
        </is>
      </c>
      <c r="B19" s="24" t="inlineStr">
        <is>
          <t>Lỗi ZeroDivisionError gây Crash HTTP 500 khi truyền tham số limit=0</t>
        </is>
      </c>
      <c r="C19" s="24" t="inlineStr">
        <is>
          <t>Crash</t>
        </is>
      </c>
      <c r="D19" s="24" t="inlineStr">
        <is>
          <t>Major</t>
        </is>
      </c>
      <c r="E19" s="24" t="inlineStr">
        <is>
          <t>High</t>
        </is>
      </c>
      <c r="F19" s="24" t="inlineStr">
        <is>
          <t>FR-04</t>
        </is>
      </c>
      <c r="G19" s="24" t="inlineStr">
        <is>
          <t>TC-NFR07-001</t>
        </is>
      </c>
      <c r="H19" s="24" t="inlineStr">
        <is>
          <t>GET /api/events?limit=0</t>
        </is>
      </c>
      <c r="I19" s="24" t="inlineStr">
        <is>
          <t>Postman v11 / Windows 11</t>
        </is>
      </c>
      <c r="J19" s="24" t="inlineStr">
        <is>
          <t>Gọi API phân trang sự kiện</t>
        </is>
      </c>
      <c r="K19" s="24" t="inlineStr">
        <is>
          <t>1. Gửi GET /api/events?limit=0
2. Quan sát phản hồi</t>
        </is>
      </c>
      <c r="L19" s="24" t="inlineStr">
        <is>
          <t>Server văng lỗi ZeroDivisionError Crash HTTP 500 tại phép chia total // limit</t>
        </is>
      </c>
      <c r="M19" s="24" t="inlineStr">
        <is>
          <t>NFR-07: Bắt lỗi validation tham số query, trả về HTTP 422 Unprocessable Entity</t>
        </is>
      </c>
      <c r="N19" s="24" t="inlineStr">
        <is>
          <t>evidence/screenshots/bug015_zerodivision_crash.png</t>
        </is>
      </c>
      <c r="O19" s="24" t="inlineStr">
        <is>
          <t>03/11/2026</t>
        </is>
      </c>
      <c r="P19" s="24" t="inlineStr">
        <is>
          <t>Đã xác nhận</t>
        </is>
      </c>
      <c r="Q19" s="24" t="inlineStr">
        <is>
          <t>Xác nhận đúng bẫy lỗi SEED-15 của hệ thống</t>
        </is>
      </c>
    </row>
    <row r="20" ht="15" customHeight="1" s="17">
      <c r="A20" s="24" t="inlineStr">
        <is>
          <t>BUG-016</t>
        </is>
      </c>
      <c r="B20" s="24" t="inlineStr">
        <is>
          <t>API cập nhật hồ sơ người dùng thiếu validation cho phép đổi email sai cú pháp không có @</t>
        </is>
      </c>
      <c r="C20" s="24" t="inlineStr">
        <is>
          <t>Functional</t>
        </is>
      </c>
      <c r="D20" s="24" t="inlineStr">
        <is>
          <t>Minor</t>
        </is>
      </c>
      <c r="E20" s="24" t="inlineStr">
        <is>
          <t>Medium</t>
        </is>
      </c>
      <c r="F20" s="24" t="inlineStr">
        <is>
          <t>FR-02</t>
        </is>
      </c>
      <c r="G20" s="24" t="inlineStr">
        <is>
          <t>TC-FR02-004</t>
        </is>
      </c>
      <c r="H20" s="24" t="inlineStr">
        <is>
          <t>PUT /api/users/{id}</t>
        </is>
      </c>
      <c r="I20" s="24" t="inlineStr">
        <is>
          <t>Postman v11 / Windows 11</t>
        </is>
      </c>
      <c r="J20" s="24" t="inlineStr">
        <is>
          <t>Đã đăng nhập tài khoản Khách</t>
        </is>
      </c>
      <c r="K20" s="24" t="inlineStr">
        <is>
          <t>1. Gửi PUT /api/users/3 với body {"email": "invaliddomain.com"}
2. Kiểm tra DB</t>
        </is>
      </c>
      <c r="L20" s="24" t="inlineStr">
        <is>
          <t>Hệ thống chấp nhận cập nhật email sai cú pháp không có ký tự @ vào database</t>
        </is>
      </c>
      <c r="M20" s="24" t="inlineStr">
        <is>
          <t>FR-02, BR-01: Trường email phải tuân thủ chuẩn RFC 5322 và chứa ký tự @ và domain hợp lệ</t>
        </is>
      </c>
      <c r="N20" s="24" t="inlineStr">
        <is>
          <t>evidence/screenshots/bug016_email_validation.png</t>
        </is>
      </c>
      <c r="O20" s="24" t="inlineStr">
        <is>
          <t>15/10/2026</t>
        </is>
      </c>
      <c r="P20" s="24" t="inlineStr">
        <is>
          <t>Đã xác nhận</t>
        </is>
      </c>
      <c r="Q20" s="24" t="inlineStr">
        <is>
          <t>Xác nhận đúng lỗi thực tế ngoài Manifest, được tính điểm thưởng</t>
        </is>
      </c>
    </row>
    <row r="21" ht="15" customHeight="1" s="17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</row>
    <row r="22" ht="15" customHeight="1" s="17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</row>
    <row r="23" ht="15" customHeight="1" s="17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</row>
    <row r="24" ht="15" customHeight="1" s="17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</row>
    <row r="25" ht="15" customHeight="1" s="17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</row>
    <row r="26" ht="15" customHeight="1" s="17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</row>
    <row r="27" ht="15" customHeight="1" s="1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</row>
    <row r="28" ht="15" customHeight="1" s="17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</row>
    <row r="29" ht="15" customHeight="1" s="17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</row>
    <row r="30" ht="15" customHeight="1" s="17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</row>
    <row r="31" ht="15" customHeight="1" s="17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</row>
    <row r="32" ht="15" customHeight="1" s="17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</row>
    <row r="33" ht="15" customHeight="1" s="17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</row>
    <row r="34" ht="15" customHeight="1" s="17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</row>
    <row r="35" ht="15" customHeight="1" s="17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</row>
  </sheetData>
  <dataValidations count="4">
    <dataValidation sqref="C5:C500" showDropDown="0" showInputMessage="0" showErrorMessage="0" allowBlank="1" errorTitle="Giá trị không hợp lệ" error="Chọn giá trị trong danh sách" type="list" errorStyle="stop" operator="between">
      <formula1>"Functional,Visual,Content,Performance,Crash"</formula1>
      <formula2>0</formula2>
    </dataValidation>
    <dataValidation sqref="D5:D500" showDropDown="0" showInputMessage="0" showErrorMessage="0" allowBlank="1" errorTitle="Giá trị không hợp lệ" error="Chọn giá trị trong danh sách" type="list" errorStyle="stop" operator="between">
      <formula1>"Critical,Major,Minor,Trivial"</formula1>
      <formula2>0</formula2>
    </dataValidation>
    <dataValidation sqref="E5:E500" showDropDown="0" showInputMessage="0" showErrorMessage="0" allowBlank="1" errorTitle="Giá trị không hợp lệ" error="Chọn giá trị trong danh sách" type="list" errorStyle="stop" operator="between">
      <formula1>"High,Medium,Low"</formula1>
      <formula2>0</formula2>
    </dataValidation>
    <dataValidation sqref="P5:P500" showDropDown="0" showInputMessage="0" showErrorMessage="0" allowBlank="1" errorTitle="Giá trị không hợp lệ" error="Chọn giá trị trong danh sách" type="list" errorStyle="stop" operator="between">
      <formula1>"Mới,Đã xác nhận,Bị từ chối,Trùng lặp,Cần thêm thông tin"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F4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6" min="1" max="1"/>
    <col width="14" customWidth="1" style="16" min="2" max="7"/>
  </cols>
  <sheetData>
    <row r="1" ht="17.35" customHeight="1" s="17">
      <c r="A1" s="18" t="inlineStr">
        <is>
          <t>TỔNG HỢP SỐ LIỆU (TỰ ĐỘNG)</t>
        </is>
      </c>
    </row>
    <row r="2" ht="15" customHeight="1" s="17">
      <c r="A2" s="19" t="inlineStr">
        <is>
          <t>Không cần điền. Dùng các số liệu này cho Test Summary Report.</t>
        </is>
      </c>
    </row>
    <row r="4" ht="15" customHeight="1" s="17">
      <c r="A4" s="26" t="inlineStr">
        <is>
          <t>1. Kiểm tra số lượng tối thiểu</t>
        </is>
      </c>
      <c r="B4" s="26" t="inlineStr">
        <is>
          <t>Hiện có</t>
        </is>
      </c>
      <c r="C4" s="26" t="inlineStr">
        <is>
          <t>Tối thiểu</t>
        </is>
      </c>
      <c r="D4" s="26" t="inlineStr">
        <is>
          <t>Trạng thái</t>
        </is>
      </c>
    </row>
    <row r="5" ht="15" customHeight="1" s="17">
      <c r="A5" s="28" t="inlineStr">
        <is>
          <t>Test case chức năng</t>
        </is>
      </c>
      <c r="B5" s="29">
        <f>COUNTA(TC_Chuc_nang!$A$5:$A$500)</f>
        <v/>
      </c>
      <c r="C5" s="29" t="n">
        <v>60</v>
      </c>
      <c r="D5" s="29">
        <f>IF(B5&gt;=C5,"Đạt","Chưa đạt")</f>
        <v/>
      </c>
    </row>
    <row r="6" ht="15" customHeight="1" s="17">
      <c r="A6" s="28" t="inlineStr">
        <is>
          <t>Test case phi chức năng</t>
        </is>
      </c>
      <c r="B6" s="29">
        <f>COUNTA(TC_Phi_chuc_nang!$A$5:$A$500)</f>
        <v/>
      </c>
      <c r="C6" s="29" t="n">
        <v>10</v>
      </c>
      <c r="D6" s="29">
        <f>IF(B6&gt;=C6,"Đạt","Chưa đạt")</f>
        <v/>
      </c>
    </row>
    <row r="7" ht="15" customHeight="1" s="17">
      <c r="A7" s="28" t="inlineStr">
        <is>
          <t>Test case luồng E2E (Use case / E2E)</t>
        </is>
      </c>
      <c r="B7" s="29">
        <f>COUNTIF(TC_Chuc_nang!$C$5:$C$500,"Use case / E2E")</f>
        <v/>
      </c>
      <c r="C7" s="29" t="n">
        <v>9</v>
      </c>
      <c r="D7" s="29">
        <f>IF(B7&gt;=C7,"Đạt","Chưa đạt")</f>
        <v/>
      </c>
    </row>
    <row r="8" ht="15" customHeight="1" s="17">
      <c r="A8" s="28" t="inlineStr">
        <is>
          <t>Số kỹ thuật thiết kế đã dùng</t>
        </is>
      </c>
      <c r="B8" s="29">
        <f>COUNTIF(B36:B43,"&gt;0")</f>
        <v/>
      </c>
      <c r="C8" s="29" t="n">
        <v>4</v>
      </c>
      <c r="D8" s="29">
        <f>IF(B8&gt;=C8,"Đạt","Chưa đạt")</f>
        <v/>
      </c>
    </row>
    <row r="9" ht="15" customHeight="1" s="17">
      <c r="A9" s="19" t="inlineStr">
        <is>
          <t>Ghi chú: dòng ví dụ ở đầu mỗi sheet cũng được đếm, hãy ghi đè hoặc xoá trước khi nộp.</t>
        </is>
      </c>
    </row>
    <row r="11" ht="26.85" customHeight="1" s="17">
      <c r="A11" s="26" t="inlineStr">
        <is>
          <t>2. Kết quả thực thi</t>
        </is>
      </c>
      <c r="B11" s="26" t="inlineStr">
        <is>
          <t>Chức năng</t>
        </is>
      </c>
      <c r="C11" s="26" t="inlineStr">
        <is>
          <t>Phi chức năng</t>
        </is>
      </c>
      <c r="D11" s="26" t="inlineStr">
        <is>
          <t>Tổng</t>
        </is>
      </c>
    </row>
    <row r="12" ht="15" customHeight="1" s="17">
      <c r="A12" s="30" t="inlineStr">
        <is>
          <t>Tổng số test case</t>
        </is>
      </c>
      <c r="B12" s="29">
        <f>COUNTA(TC_Chuc_nang!$A$5:$A$500)</f>
        <v/>
      </c>
      <c r="C12" s="29">
        <f>COUNTA(TC_Phi_chuc_nang!$A$5:$A$500)</f>
        <v/>
      </c>
      <c r="D12" s="31">
        <f>B12+C12</f>
        <v/>
      </c>
    </row>
    <row r="13" ht="15" customHeight="1" s="17">
      <c r="A13" s="28" t="inlineStr">
        <is>
          <t>Pass</t>
        </is>
      </c>
      <c r="B13" s="29">
        <f>COUNTIF(TC_Chuc_nang!$J$5:$J$500,"Pass")</f>
        <v/>
      </c>
      <c r="C13" s="29">
        <f>COUNTIF(TC_Phi_chuc_nang!$J$5:$J$500,"Pass")</f>
        <v/>
      </c>
      <c r="D13" s="29">
        <f>B13+C13</f>
        <v/>
      </c>
    </row>
    <row r="14" ht="15" customHeight="1" s="17">
      <c r="A14" s="28" t="inlineStr">
        <is>
          <t>Fail</t>
        </is>
      </c>
      <c r="B14" s="29">
        <f>COUNTIF(TC_Chuc_nang!$J$5:$J$500,"Fail")</f>
        <v/>
      </c>
      <c r="C14" s="29">
        <f>COUNTIF(TC_Phi_chuc_nang!$J$5:$J$500,"Fail")</f>
        <v/>
      </c>
      <c r="D14" s="29">
        <f>B14+C14</f>
        <v/>
      </c>
    </row>
    <row r="15" ht="15" customHeight="1" s="17">
      <c r="A15" s="28" t="inlineStr">
        <is>
          <t>Blocked</t>
        </is>
      </c>
      <c r="B15" s="29">
        <f>COUNTIF(TC_Chuc_nang!$J$5:$J$500,"Blocked")</f>
        <v/>
      </c>
      <c r="C15" s="29">
        <f>COUNTIF(TC_Phi_chuc_nang!$J$5:$J$500,"Blocked")</f>
        <v/>
      </c>
      <c r="D15" s="29">
        <f>B15+C15</f>
        <v/>
      </c>
    </row>
    <row r="16" ht="15" customHeight="1" s="17">
      <c r="A16" s="28" t="inlineStr">
        <is>
          <t>Chưa chạy</t>
        </is>
      </c>
      <c r="B16" s="29">
        <f>COUNTIF(TC_Chuc_nang!$J$5:$J$500,"Chưa chạy")</f>
        <v/>
      </c>
      <c r="C16" s="29">
        <f>COUNTIF(TC_Phi_chuc_nang!$J$5:$J$500,"Chưa chạy")</f>
        <v/>
      </c>
      <c r="D16" s="29">
        <f>B16+C16</f>
        <v/>
      </c>
    </row>
    <row r="17" ht="15" customHeight="1" s="17">
      <c r="A17" s="28" t="inlineStr">
        <is>
          <t>Đã thực thi</t>
        </is>
      </c>
      <c r="B17" s="29">
        <f>B13+B14+B15</f>
        <v/>
      </c>
      <c r="C17" s="29">
        <f>C13+C14+C15</f>
        <v/>
      </c>
      <c r="D17" s="29">
        <f>B17+C17</f>
        <v/>
      </c>
    </row>
    <row r="18" ht="15" customHeight="1" s="17">
      <c r="A18" s="30" t="inlineStr">
        <is>
          <t>Tỉ lệ Pass / đã thực thi</t>
        </is>
      </c>
      <c r="B18" s="32">
        <f>IF(B17=0,"",B13/B17)</f>
        <v/>
      </c>
      <c r="C18" s="32">
        <f>IF(C17=0,"",C13/C17)</f>
        <v/>
      </c>
      <c r="D18" s="33">
        <f>IF(D17=0,"",D13/D17)</f>
        <v/>
      </c>
    </row>
    <row r="20" ht="15" customHeight="1" s="17">
      <c r="A20" s="26" t="inlineStr">
        <is>
          <t>3. Bug theo loại lỗi</t>
        </is>
      </c>
      <c r="B20" s="26" t="inlineStr">
        <is>
          <t>Critical</t>
        </is>
      </c>
      <c r="C20" s="26" t="inlineStr">
        <is>
          <t>Major</t>
        </is>
      </c>
      <c r="D20" s="26" t="inlineStr">
        <is>
          <t>Minor</t>
        </is>
      </c>
      <c r="E20" s="26" t="inlineStr">
        <is>
          <t>Trivial</t>
        </is>
      </c>
      <c r="F20" s="26" t="inlineStr">
        <is>
          <t>Tổng</t>
        </is>
      </c>
    </row>
    <row r="21" ht="15" customHeight="1" s="17">
      <c r="A21" s="28" t="inlineStr">
        <is>
          <t>Functional</t>
        </is>
      </c>
      <c r="B21" s="29">
        <f>COUNTIFS(Bug_Report!$C$5:$C$500,$A21,Bug_Report!$D$5:$D$500,B$20)</f>
        <v/>
      </c>
      <c r="C21" s="29">
        <f>COUNTIFS(Bug_Report!$C$5:$C$500,$A21,Bug_Report!$D$5:$D$500,C$20)</f>
        <v/>
      </c>
      <c r="D21" s="29">
        <f>COUNTIFS(Bug_Report!$C$5:$C$500,$A21,Bug_Report!$D$5:$D$500,D$20)</f>
        <v/>
      </c>
      <c r="E21" s="29">
        <f>COUNTIFS(Bug_Report!$C$5:$C$500,$A21,Bug_Report!$D$5:$D$500,E$20)</f>
        <v/>
      </c>
      <c r="F21" s="31">
        <f>SUM(B21:E21)</f>
        <v/>
      </c>
    </row>
    <row r="22" ht="15" customHeight="1" s="17">
      <c r="A22" s="28" t="inlineStr">
        <is>
          <t>Visual</t>
        </is>
      </c>
      <c r="B22" s="29">
        <f>COUNTIFS(Bug_Report!$C$5:$C$500,$A22,Bug_Report!$D$5:$D$500,B$20)</f>
        <v/>
      </c>
      <c r="C22" s="29">
        <f>COUNTIFS(Bug_Report!$C$5:$C$500,$A22,Bug_Report!$D$5:$D$500,C$20)</f>
        <v/>
      </c>
      <c r="D22" s="29">
        <f>COUNTIFS(Bug_Report!$C$5:$C$500,$A22,Bug_Report!$D$5:$D$500,D$20)</f>
        <v/>
      </c>
      <c r="E22" s="29">
        <f>COUNTIFS(Bug_Report!$C$5:$C$500,$A22,Bug_Report!$D$5:$D$500,E$20)</f>
        <v/>
      </c>
      <c r="F22" s="31">
        <f>SUM(B22:E22)</f>
        <v/>
      </c>
    </row>
    <row r="23" ht="15" customHeight="1" s="17">
      <c r="A23" s="28" t="inlineStr">
        <is>
          <t>Content</t>
        </is>
      </c>
      <c r="B23" s="29">
        <f>COUNTIFS(Bug_Report!$C$5:$C$500,$A23,Bug_Report!$D$5:$D$500,B$20)</f>
        <v/>
      </c>
      <c r="C23" s="29">
        <f>COUNTIFS(Bug_Report!$C$5:$C$500,$A23,Bug_Report!$D$5:$D$500,C$20)</f>
        <v/>
      </c>
      <c r="D23" s="29">
        <f>COUNTIFS(Bug_Report!$C$5:$C$500,$A23,Bug_Report!$D$5:$D$500,D$20)</f>
        <v/>
      </c>
      <c r="E23" s="29">
        <f>COUNTIFS(Bug_Report!$C$5:$C$500,$A23,Bug_Report!$D$5:$D$500,E$20)</f>
        <v/>
      </c>
      <c r="F23" s="31">
        <f>SUM(B23:E23)</f>
        <v/>
      </c>
    </row>
    <row r="24" ht="15" customHeight="1" s="17">
      <c r="A24" s="28" t="inlineStr">
        <is>
          <t>Performance</t>
        </is>
      </c>
      <c r="B24" s="29">
        <f>COUNTIFS(Bug_Report!$C$5:$C$500,$A24,Bug_Report!$D$5:$D$500,B$20)</f>
        <v/>
      </c>
      <c r="C24" s="29">
        <f>COUNTIFS(Bug_Report!$C$5:$C$500,$A24,Bug_Report!$D$5:$D$500,C$20)</f>
        <v/>
      </c>
      <c r="D24" s="29">
        <f>COUNTIFS(Bug_Report!$C$5:$C$500,$A24,Bug_Report!$D$5:$D$500,D$20)</f>
        <v/>
      </c>
      <c r="E24" s="29">
        <f>COUNTIFS(Bug_Report!$C$5:$C$500,$A24,Bug_Report!$D$5:$D$500,E$20)</f>
        <v/>
      </c>
      <c r="F24" s="31">
        <f>SUM(B24:E24)</f>
        <v/>
      </c>
    </row>
    <row r="25" ht="15" customHeight="1" s="17">
      <c r="A25" s="28" t="inlineStr">
        <is>
          <t>Crash</t>
        </is>
      </c>
      <c r="B25" s="29">
        <f>COUNTIFS(Bug_Report!$C$5:$C$500,$A25,Bug_Report!$D$5:$D$500,B$20)</f>
        <v/>
      </c>
      <c r="C25" s="29">
        <f>COUNTIFS(Bug_Report!$C$5:$C$500,$A25,Bug_Report!$D$5:$D$500,C$20)</f>
        <v/>
      </c>
      <c r="D25" s="29">
        <f>COUNTIFS(Bug_Report!$C$5:$C$500,$A25,Bug_Report!$D$5:$D$500,D$20)</f>
        <v/>
      </c>
      <c r="E25" s="29">
        <f>COUNTIFS(Bug_Report!$C$5:$C$500,$A25,Bug_Report!$D$5:$D$500,E$20)</f>
        <v/>
      </c>
      <c r="F25" s="31">
        <f>SUM(B25:E25)</f>
        <v/>
      </c>
    </row>
    <row r="26" ht="15" customHeight="1" s="17">
      <c r="A26" s="30" t="inlineStr">
        <is>
          <t>Tổng</t>
        </is>
      </c>
      <c r="B26" s="31">
        <f>SUM(B21:B25)</f>
        <v/>
      </c>
      <c r="C26" s="31">
        <f>SUM(C21:C25)</f>
        <v/>
      </c>
      <c r="D26" s="31">
        <f>SUM(D21:D25)</f>
        <v/>
      </c>
      <c r="E26" s="31">
        <f>SUM(E21:E25)</f>
        <v/>
      </c>
      <c r="F26" s="31">
        <f>SUM(F21:F25)</f>
        <v/>
      </c>
    </row>
    <row r="28" ht="15" customHeight="1" s="17">
      <c r="A28" s="26" t="inlineStr">
        <is>
          <t>4. Bug theo trạng thái phản hồi</t>
        </is>
      </c>
      <c r="B28" s="26" t="inlineStr">
        <is>
          <t>Số lượng</t>
        </is>
      </c>
    </row>
    <row r="29" ht="15" customHeight="1" s="17">
      <c r="A29" s="28" t="inlineStr">
        <is>
          <t>Mới</t>
        </is>
      </c>
      <c r="B29" s="29">
        <f>COUNTIF(Bug_Report!$P$5:$P$500,A29)</f>
        <v/>
      </c>
    </row>
    <row r="30" ht="15" customHeight="1" s="17">
      <c r="A30" s="28" t="inlineStr">
        <is>
          <t>Đã xác nhận</t>
        </is>
      </c>
      <c r="B30" s="29">
        <f>COUNTIF(Bug_Report!$P$5:$P$500,A30)</f>
        <v/>
      </c>
    </row>
    <row r="31" ht="15" customHeight="1" s="17">
      <c r="A31" s="28" t="inlineStr">
        <is>
          <t>Bị từ chối</t>
        </is>
      </c>
      <c r="B31" s="29">
        <f>COUNTIF(Bug_Report!$P$5:$P$500,A31)</f>
        <v/>
      </c>
    </row>
    <row r="32" ht="15" customHeight="1" s="17">
      <c r="A32" s="28" t="inlineStr">
        <is>
          <t>Trùng lặp</t>
        </is>
      </c>
      <c r="B32" s="29">
        <f>COUNTIF(Bug_Report!$P$5:$P$500,A32)</f>
        <v/>
      </c>
    </row>
    <row r="33" ht="15" customHeight="1" s="17">
      <c r="A33" s="28" t="inlineStr">
        <is>
          <t>Cần thêm thông tin</t>
        </is>
      </c>
      <c r="B33" s="29">
        <f>COUNTIF(Bug_Report!$P$5:$P$500,A33)</f>
        <v/>
      </c>
    </row>
    <row r="35" ht="15" customHeight="1" s="17">
      <c r="A35" s="26" t="inlineStr">
        <is>
          <t>5. Test case theo kỹ thuật</t>
        </is>
      </c>
      <c r="B35" s="26" t="inlineStr">
        <is>
          <t>Số lượng</t>
        </is>
      </c>
    </row>
    <row r="36" ht="15" customHeight="1" s="17">
      <c r="A36" s="28" t="inlineStr">
        <is>
          <t>Phân hoạch tương đương (EP)</t>
        </is>
      </c>
      <c r="B36" s="29">
        <f>COUNTIF(TC_Chuc_nang!$C$5:$C$500,A36)</f>
        <v/>
      </c>
    </row>
    <row r="37" ht="15" customHeight="1" s="17">
      <c r="A37" s="28" t="inlineStr">
        <is>
          <t>Giá trị biên (BVA)</t>
        </is>
      </c>
      <c r="B37" s="29">
        <f>COUNTIF(TC_Chuc_nang!$C$5:$C$500,A37)</f>
        <v/>
      </c>
    </row>
    <row r="38" ht="15" customHeight="1" s="17">
      <c r="A38" s="28" t="inlineStr">
        <is>
          <t>Bảng quyết định</t>
        </is>
      </c>
      <c r="B38" s="29">
        <f>COUNTIF(TC_Chuc_nang!$C$5:$C$500,A38)</f>
        <v/>
      </c>
    </row>
    <row r="39" ht="15" customHeight="1" s="17">
      <c r="A39" s="28" t="inlineStr">
        <is>
          <t>Chuyển trạng thái</t>
        </is>
      </c>
      <c r="B39" s="29">
        <f>COUNTIF(TC_Chuc_nang!$C$5:$C$500,A39)</f>
        <v/>
      </c>
    </row>
    <row r="40" ht="15" customHeight="1" s="17">
      <c r="A40" s="28" t="inlineStr">
        <is>
          <t>Use case / E2E</t>
        </is>
      </c>
      <c r="B40" s="29">
        <f>COUNTIF(TC_Chuc_nang!$C$5:$C$500,A40)</f>
        <v/>
      </c>
    </row>
    <row r="41" ht="15" customHeight="1" s="17">
      <c r="A41" s="28" t="inlineStr">
        <is>
          <t>Phân quyền</t>
        </is>
      </c>
      <c r="B41" s="29">
        <f>COUNTIF(TC_Chuc_nang!$C$5:$C$500,A41)</f>
        <v/>
      </c>
    </row>
    <row r="42" ht="15" customHeight="1" s="17">
      <c r="A42" s="28" t="inlineStr">
        <is>
          <t>Error guessing / Checklist</t>
        </is>
      </c>
      <c r="B42" s="29">
        <f>COUNTIF(TC_Chuc_nang!$C$5:$C$500,A42)</f>
        <v/>
      </c>
    </row>
    <row r="43" ht="15" customHeight="1" s="17">
      <c r="A43" s="28" t="inlineStr">
        <is>
          <t>Exploratory</t>
        </is>
      </c>
      <c r="B43" s="29">
        <f>COUNTIF(TC_Chuc_nang!$C$5:$C$500,A43)</f>
        <v/>
      </c>
    </row>
    <row r="45" ht="15" customHeight="1" s="17">
      <c r="A45" s="26" t="inlineStr">
        <is>
          <t>6. Review SRS</t>
        </is>
      </c>
      <c r="B45" s="26" t="inlineStr">
        <is>
          <t>Số lượng</t>
        </is>
      </c>
    </row>
    <row r="46" ht="15" customHeight="1" s="17">
      <c r="A46" s="28" t="inlineStr">
        <is>
          <t>Tổng số vấn đề đã nêu</t>
        </is>
      </c>
      <c r="B46" s="29">
        <f>COUNTA(Review_SRS!$D$5:$D$500)</f>
        <v/>
      </c>
    </row>
    <row r="47" ht="15" customHeight="1" s="17">
      <c r="A47" s="28" t="inlineStr">
        <is>
          <t>Được chủ hệ thống chấp nhận</t>
        </is>
      </c>
      <c r="B47" s="29">
        <f>COUNTIF(Review_SRS!$H$5:$H$500,"Chấp nhận")</f>
        <v/>
      </c>
    </row>
  </sheetData>
  <conditionalFormatting sqref="D5:D8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"Chưa đạt"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2026-09-24T04:24:38Z</dcterms:created>
  <dcterms:modified xmlns:dcterms="http://purl.org/dc/terms/" xmlns:xsi="http://www.w3.org/2001/XMLSchema-instance" xsi:type="dcterms:W3CDTF">2026-10-27T04:27:27Z</dcterms:modified>
  <cp:revision>0</cp:revision>
</cp:coreProperties>
</file>