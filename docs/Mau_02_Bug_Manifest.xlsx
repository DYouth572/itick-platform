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7" windowHeight="8193" tabRatio="500" firstSheet="0" activeTab="0" autoFilterDateGrouping="1"/>
  </bookViews>
  <sheets>
    <sheet xmlns:r="http://schemas.openxmlformats.org/officeDocument/2006/relationships" name="Bug_Manifest" sheetId="1" state="visible" r:id="rId1"/>
  </sheets>
  <definedNames/>
  <calcPr calcId="162913" fullCalcOnLoad="1" iterateDelta="0.0001"/>
</workbook>
</file>

<file path=xl/styles.xml><?xml version="1.0" encoding="utf-8"?>
<styleSheet xmlns="http://schemas.openxmlformats.org/spreadsheetml/2006/main">
  <numFmts count="0"/>
  <fonts count="7">
    <font>
      <name val="Calibri"/>
      <charset val="1"/>
      <family val="2"/>
      <color theme="1"/>
      <sz val="11"/>
    </font>
    <font>
      <name val="Times New Roman"/>
      <charset val="1"/>
      <b val="1"/>
      <color rgb="FF1F2A5C"/>
      <sz val="14"/>
    </font>
    <font>
      <name val="Times New Roman"/>
      <charset val="1"/>
      <i val="1"/>
      <color rgb="FF595959"/>
      <sz val="12"/>
    </font>
    <font>
      <name val="Times New Roman"/>
      <charset val="1"/>
      <b val="1"/>
      <sz val="12"/>
    </font>
    <font>
      <name val="Times New Roman"/>
      <charset val="1"/>
      <sz val="12"/>
    </font>
    <font>
      <name val="Times New Roman"/>
      <charset val="1"/>
      <b val="1"/>
      <color rgb="FFFFFFFF"/>
      <sz val="12"/>
    </font>
    <font>
      <name val="Calibri"/>
      <sz val="10"/>
    </font>
  </fonts>
  <fills count="5">
    <fill>
      <patternFill/>
    </fill>
    <fill>
      <patternFill patternType="gray125"/>
    </fill>
    <fill>
      <patternFill patternType="solid">
        <fgColor rgb="FFEEF1F8"/>
        <bgColor rgb="FFFFF8E1"/>
      </patternFill>
    </fill>
    <fill>
      <patternFill patternType="solid">
        <fgColor rgb="FFFFF8E1"/>
        <bgColor rgb="FFFFFFFF"/>
      </patternFill>
    </fill>
    <fill>
      <patternFill patternType="solid">
        <fgColor rgb="FF1F2A5C"/>
        <bgColor rgb="FF333333"/>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6">
    <xf numFmtId="0" fontId="0" fillId="0" borderId="0" pivotButton="0" quotePrefix="0" xfId="0"/>
    <xf numFmtId="0" fontId="5"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0">
      <alignment horizontal="left" vertical="center" wrapText="1"/>
    </xf>
    <xf numFmtId="0" fontId="4" fillId="0" borderId="1" applyAlignment="1" pivotButton="0" quotePrefix="0" xfId="0">
      <alignment vertical="top" wrapText="1"/>
    </xf>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3" fillId="2" borderId="1" applyAlignment="1" pivotButton="0" quotePrefix="0" xfId="0">
      <alignment wrapText="1"/>
    </xf>
    <xf numFmtId="0" fontId="0" fillId="0" borderId="2" applyAlignment="1" pivotButton="0" quotePrefix="0" xfId="0">
      <alignment wrapText="1"/>
    </xf>
    <xf numFmtId="0" fontId="4" fillId="3" borderId="1" applyAlignment="1" pivotButton="0" quotePrefix="0" xfId="0">
      <alignment wrapText="1"/>
    </xf>
    <xf numFmtId="0" fontId="0" fillId="0" borderId="3" applyAlignment="1" pivotButton="0" quotePrefix="0" xfId="0">
      <alignment wrapText="1"/>
    </xf>
    <xf numFmtId="0" fontId="4" fillId="0" borderId="1" applyAlignment="1" pivotButton="0" quotePrefix="0" xfId="0">
      <alignment wrapText="1"/>
    </xf>
    <xf numFmtId="0" fontId="0" fillId="0" borderId="2" pivotButton="0" quotePrefix="0" xfId="0"/>
    <xf numFmtId="0" fontId="0" fillId="0" borderId="3" pivotButton="0" quotePrefix="0" xfId="0"/>
  </cellXfs>
  <cellStyles count="1">
    <cellStyle name="Normal" xfId="0" builtinId="0"/>
  </cellStyles>
  <dxfs count="2">
    <dxf>
      <font>
        <name val="Times New Roman"/>
        <b val="1"/>
        <color rgb="FF9C0006"/>
      </font>
      <fill>
        <patternFill>
          <bgColor rgb="FFFFC7CE"/>
        </patternFill>
      </fill>
    </dxf>
    <dxf>
      <font>
        <name val="Times New Roman"/>
        <b val="1"/>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8E1"/>
      <rgbColor rgb="FFEE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2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56"/>
  <sheetViews>
    <sheetView tabSelected="1" zoomScale="90" zoomScaleNormal="90" workbookViewId="0">
      <pane xSplit="1" ySplit="15" topLeftCell="B26" activePane="bottomRight" state="frozen"/>
      <selection pane="topRight" activeCell="B1" sqref="B1"/>
      <selection pane="bottomLeft" activeCell="A16" sqref="A16"/>
      <selection pane="bottomRight" activeCell="K24" sqref="K24"/>
    </sheetView>
  </sheetViews>
  <sheetFormatPr baseColWidth="8" defaultColWidth="8.703125" defaultRowHeight="14.35"/>
  <cols>
    <col width="11.46875" customWidth="1" style="7" min="1" max="1"/>
    <col width="14.87890625" customWidth="1" style="7" min="2" max="2"/>
    <col width="13.8203125" customWidth="1" style="7" min="3" max="3"/>
    <col width="16.1171875" customWidth="1" style="7" min="4" max="4"/>
    <col width="27.5859375" customWidth="1" style="7" min="5" max="5"/>
    <col width="34.52734375" customWidth="1" style="7" min="6" max="6"/>
    <col width="32" customWidth="1" style="7" min="7" max="7"/>
    <col width="41.41015625" customWidth="1" style="7" min="8" max="8"/>
    <col width="32.17578125" customWidth="1" style="7" min="9" max="10"/>
    <col width="23" customWidth="1" style="7" min="11" max="11"/>
    <col width="27.5859375" customWidth="1" style="7" min="12" max="12"/>
    <col width="20.703125" customWidth="1" style="7" min="13" max="13"/>
    <col width="8.703125" customWidth="1" style="7" min="14" max="16384"/>
  </cols>
  <sheetData>
    <row r="1" ht="17.35" customHeight="1">
      <c r="A1" s="6" t="inlineStr">
        <is>
          <t>DANH SÁCH LỖI CÀI SẴN (BUG MANIFEST)</t>
        </is>
      </c>
    </row>
    <row r="2" ht="15" customHeight="1">
      <c r="A2" s="8" t="inlineStr">
        <is>
          <t>Nộp RIÊNG cho giảng viên cùng lúc bàn giao sản phẩm (tuần 6). KHÔNG gửi cho bạn test. Không cần sửa lỗi: giữ nguyên sản phẩm đến hết buổi demo. Mỗi lỗi phải vi phạm một yêu cầu cụ thể trong SRS.</t>
        </is>
      </c>
    </row>
    <row r="4" ht="15" customHeight="1">
      <c r="A4" s="9" t="inlineStr">
        <is>
          <t>Họ và tên</t>
        </is>
      </c>
      <c r="B4" s="14" t="n"/>
      <c r="C4" s="11" t="inlineStr">
        <is>
          <t>Lại Thị Thanh Xuân</t>
        </is>
      </c>
      <c r="D4" s="15" t="n"/>
      <c r="E4" s="14" t="n"/>
      <c r="G4" s="1" t="inlineStr">
        <is>
          <t>Tự kiểm tra số lượng</t>
        </is>
      </c>
      <c r="H4" s="1" t="inlineStr">
        <is>
          <t>Số lượng</t>
        </is>
      </c>
      <c r="I4" s="1" t="inlineStr">
        <is>
          <t>Tối thiểu</t>
        </is>
      </c>
      <c r="J4" s="1" t="inlineStr">
        <is>
          <t>Trạng thái</t>
        </is>
      </c>
    </row>
    <row r="5" ht="15" customHeight="1">
      <c r="A5" s="9" t="inlineStr">
        <is>
          <t>MSSV</t>
        </is>
      </c>
      <c r="B5" s="14" t="n"/>
      <c r="C5" s="11" t="inlineStr">
        <is>
          <t>23110309</t>
        </is>
      </c>
      <c r="D5" s="15" t="n"/>
      <c r="E5" s="14" t="n"/>
      <c r="G5" s="13" t="inlineStr">
        <is>
          <t>Functional</t>
        </is>
      </c>
      <c r="H5" s="2">
        <f>COUNTIF($B$16:$B$500,G5)</f>
        <v/>
      </c>
      <c r="I5" s="2" t="n">
        <v>5</v>
      </c>
      <c r="J5" s="2">
        <f>IF(H5&gt;=I5,"Đạt","Chưa đạt")</f>
        <v/>
      </c>
    </row>
    <row r="6" ht="15" customHeight="1">
      <c r="A6" s="9" t="inlineStr">
        <is>
          <t>Tên hệ thống</t>
        </is>
      </c>
      <c r="B6" s="14" t="n"/>
      <c r="C6" s="11" t="inlineStr">
        <is>
          <t>EventTick - Nền tảng Bán vé Sự kiện Trực tuyến</t>
        </is>
      </c>
      <c r="D6" s="15" t="n"/>
      <c r="E6" s="14" t="n"/>
      <c r="G6" s="13" t="inlineStr">
        <is>
          <t>Visual</t>
        </is>
      </c>
      <c r="H6" s="2">
        <f>COUNTIF($B$16:$B$500,G6)</f>
        <v/>
      </c>
      <c r="I6" s="2" t="n">
        <v>3</v>
      </c>
      <c r="J6" s="2">
        <f>IF(H6&gt;=I6,"Đạt","Chưa đạt")</f>
        <v/>
      </c>
    </row>
    <row r="7" ht="15" customHeight="1">
      <c r="A7" s="9" t="inlineStr">
        <is>
          <t>Link sản phẩm</t>
        </is>
      </c>
      <c r="B7" s="14" t="n"/>
      <c r="C7" s="11" t="inlineStr">
        <is>
          <t>https://itick-platform.onrender.com/ (Local: http://127.0.0.1:8001)</t>
        </is>
      </c>
      <c r="D7" s="15" t="n"/>
      <c r="E7" s="14" t="n"/>
      <c r="G7" s="13" t="inlineStr">
        <is>
          <t>Content</t>
        </is>
      </c>
      <c r="H7" s="2">
        <f>COUNTIF($B$16:$B$500,G7)</f>
        <v/>
      </c>
      <c r="I7" s="2" t="n">
        <v>3</v>
      </c>
      <c r="J7" s="2">
        <f>IF(H7&gt;=I7,"Đạt","Chưa đạt")</f>
        <v/>
      </c>
    </row>
    <row r="8" ht="15" customHeight="1">
      <c r="A8" s="9" t="inlineStr">
        <is>
          <t>Tester (bạn cặp)</t>
        </is>
      </c>
      <c r="B8" s="14" t="n"/>
      <c r="C8" s="11" t="inlineStr">
        <is>
          <t>Sinh viên B</t>
        </is>
      </c>
      <c r="D8" s="15" t="n"/>
      <c r="E8" s="14" t="n"/>
      <c r="G8" s="13" t="inlineStr">
        <is>
          <t>Performance</t>
        </is>
      </c>
      <c r="H8" s="2">
        <f>COUNTIF($B$16:$B$500,G8)</f>
        <v/>
      </c>
      <c r="I8" s="2" t="n">
        <v>2</v>
      </c>
      <c r="J8" s="2">
        <f>IF(H8&gt;=I8,"Đạt","Chưa đạt")</f>
        <v/>
      </c>
    </row>
    <row r="9" ht="15" customHeight="1">
      <c r="A9" s="9" t="inlineStr">
        <is>
          <t>Ngày nộp</t>
        </is>
      </c>
      <c r="B9" s="14" t="n"/>
      <c r="C9" s="11" t="inlineStr">
        <is>
          <t>27/10/2026</t>
        </is>
      </c>
      <c r="D9" s="15" t="n"/>
      <c r="E9" s="14" t="n"/>
      <c r="G9" s="13" t="inlineStr">
        <is>
          <t>Crash</t>
        </is>
      </c>
      <c r="H9" s="2">
        <f>COUNTIF($B$16:$B$500,G9)</f>
        <v/>
      </c>
      <c r="I9" s="2" t="n">
        <v>2</v>
      </c>
      <c r="J9" s="2">
        <f>IF(H9&gt;=I9,"Đạt","Chưa đạt")</f>
        <v/>
      </c>
    </row>
    <row r="10" ht="15" customHeight="1">
      <c r="A10" t="inlineStr">
        <is>
          <t>Link Drive minh chứng Bug (Bí mật)</t>
        </is>
      </c>
      <c r="C10" t="inlineStr">
        <is>
          <t>https://drive.google.com/drive/folders/1K9Mq0RubxVY5YOycdWN-DqwUO4dmS-kc?usp=sharing</t>
        </is>
      </c>
      <c r="G10" s="13" t="inlineStr">
        <is>
          <t>Tổng số lỗi</t>
        </is>
      </c>
      <c r="H10" s="2">
        <f>COUNTA($A$16:$A$500)</f>
        <v/>
      </c>
      <c r="I10" s="2" t="n">
        <v>15</v>
      </c>
      <c r="J10" s="2">
        <f>IF(H10&gt;=I10,"Đạt","Chưa đạt")</f>
        <v/>
      </c>
    </row>
    <row r="11" ht="15" customHeight="1">
      <c r="A11" t="inlineStr">
        <is>
          <t>Mã nguồn GitHub</t>
        </is>
      </c>
      <c r="C11" t="inlineStr">
        <is>
          <t>https://github.com/DYouth572/itick-platform</t>
        </is>
      </c>
      <c r="G11" s="13" t="inlineStr">
        <is>
          <t>Mức Critical + Major</t>
        </is>
      </c>
      <c r="H11" s="2">
        <f>COUNTIF($C$16:$C$500,"Critical")+COUNTIF($C$16:$C$500,"Major")</f>
        <v/>
      </c>
      <c r="I11" s="2" t="n">
        <v>3</v>
      </c>
      <c r="J11" s="2">
        <f>IF(H11&gt;=I11,"Đạt","Chưa đạt")</f>
        <v/>
      </c>
    </row>
    <row r="12" ht="15" customHeight="1">
      <c r="G12" s="8" t="inlineStr">
        <is>
          <t>Bảng tự đếm theo cột Loại lỗi và Mức nghiêm trọng bên dưới.</t>
        </is>
      </c>
    </row>
    <row r="13" ht="15" customHeight="1">
      <c r="A13" s="8" t="inlineStr">
        <is>
          <t>Chú thích:  ô nền vàng nhạt = sinh viên điền;  dòng chữ xám nghiêng = VÍ DỤ, ghi đè hoặc xoá khi làm;  cột có mũi tên = chọn từ danh sách.</t>
        </is>
      </c>
    </row>
    <row r="15" ht="31.5" customHeight="1">
      <c r="A15" s="1" t="inlineStr">
        <is>
          <t>Mã lỗi</t>
        </is>
      </c>
      <c r="B15" s="1" t="inlineStr">
        <is>
          <t>Loại lỗi</t>
        </is>
      </c>
      <c r="C15" s="1" t="inlineStr">
        <is>
          <t>Mức nghiêm trọng</t>
        </is>
      </c>
      <c r="D15" s="1" t="inlineStr">
        <is>
          <t>Chức năng / Luồng</t>
        </is>
      </c>
      <c r="E15" s="1" t="inlineStr">
        <is>
          <t>Vị trí (màn hình, URL, API)</t>
        </is>
      </c>
      <c r="F15" s="1" t="inlineStr">
        <is>
          <t>Yêu cầu SRS bị vi phạm (mã + trích nội dung)</t>
        </is>
      </c>
      <c r="G15" s="1" t="inlineStr">
        <is>
          <t>Mô tả lỗi</t>
        </is>
      </c>
      <c r="H15" s="1" t="inlineStr">
        <is>
          <t>Các bước tái hiện</t>
        </is>
      </c>
      <c r="I15" s="1" t="inlineStr">
        <is>
          <t>Kết quả mong đợi (theo SRS)</t>
        </is>
      </c>
      <c r="J15" s="1" t="inlineStr">
        <is>
          <t>Kết quả thực tế</t>
        </is>
      </c>
      <c r="K15" s="1" t="inlineStr">
        <is>
          <t>Bằng chứng (link ảnh / video lỗi trên sản phẩm)</t>
        </is>
      </c>
      <c r="L15" s="1" t="inlineStr">
        <is>
          <t>File chứa lỗi</t>
        </is>
      </c>
      <c r="M15" s="1" t="inlineStr">
        <is>
          <t>Ghi chú</t>
        </is>
      </c>
    </row>
    <row r="16" ht="114" customHeight="1">
      <c r="A16" s="3" t="inlineStr">
        <is>
          <t>SEED-01</t>
        </is>
      </c>
      <c r="B16" s="3" t="inlineStr">
        <is>
          <t>Functional</t>
        </is>
      </c>
      <c r="C16" s="3" t="inlineStr">
        <is>
          <t>Critical</t>
        </is>
      </c>
      <c r="D16" s="3" t="inlineStr">
        <is>
          <t>FR-06 / FLOW-01</t>
        </is>
      </c>
      <c r="E16" s="4" t="inlineStr">
        <is>
          <t>API POST /api/bookings</t>
        </is>
      </c>
      <c r="F16" s="4" t="inlineStr">
        <is>
          <t>FR-06, BR-02, NFR-02: Kiểm soát Concurrency không bán âm kho</t>
        </is>
      </c>
      <c r="G16" s="4" t="inlineStr">
        <is>
          <t>Race condition bán vượt vé (Overselling): Khi nhiều request gửi đồng thời mua vé cuối cùng, hệ thống không dùng atomic check/lock dẫn đến kho vé bị âm (bán được &gt; 100% số vé).</t>
        </is>
      </c>
      <c r="H16" s="4" t="inlineStr">
        <is>
          <t>1. Chuẩn bị hạng vé còn 5 vé.
2. Cấu hình kịch bản JMeter 50 threads đồng thời gọi POST /api/bookings với quantity=1.
3. Kiểm tra số lượng vé đã xuất và available_quantity trong DB.</t>
        </is>
      </c>
      <c r="I16" s="4" t="inlineStr">
        <is>
          <t>Chỉ xuất đúng 5 vé, 45 request sau nhận HTTP 400 'Số lượng vé trong kho không đủ', available_quantity = 0.</t>
        </is>
      </c>
      <c r="J16" s="4" t="inlineStr">
        <is>
          <t>Xuất thành công nhiều hơn 5 vé (bán vượt vé), available_quantity bị âm (ví dụ -15 vé).</t>
        </is>
      </c>
      <c r="K16" s="4" t="inlineStr">
        <is>
          <t>evidence/seed01_overselling_jmeter.png</t>
        </is>
      </c>
      <c r="L16" s="4" t="inlineStr">
        <is>
          <t>app/routers/bookings.py</t>
        </is>
      </c>
      <c r="M16" s="4" t="inlineStr">
        <is>
          <t>Lỗi cốt lõi kiểm thử tải JMeter Concurrency</t>
        </is>
      </c>
    </row>
    <row r="17" ht="71.34999999999999" customHeight="1">
      <c r="A17" s="3" t="inlineStr">
        <is>
          <t>SEED-02</t>
        </is>
      </c>
      <c r="B17" s="3" t="inlineStr">
        <is>
          <t>Functional</t>
        </is>
      </c>
      <c r="C17" s="3" t="inlineStr">
        <is>
          <t>Major</t>
        </is>
      </c>
      <c r="D17" s="3" t="inlineStr">
        <is>
          <t>FR-07 / FLOW-01</t>
        </is>
      </c>
      <c r="E17" s="4" t="inlineStr">
        <is>
          <t>Màn hình Đặt vé (/events/{id}); API POST /api/bookings</t>
        </is>
      </c>
      <c r="F17" s="4" t="inlineStr">
        <is>
          <t>FR-07, BR-03: Mức giảm không được vượt quá max_discount_cap</t>
        </is>
      </c>
      <c r="G17" s="4" t="inlineStr">
        <is>
          <t>Không chặn trần giảm giá tối đa của Voucher: Voucher GIAM20 giảm 20% có trần 150,000đ, nhưng đơn hàng 2,000,000đ được giảm tới 400,000đ (vượt trần 150,000đ).</t>
        </is>
      </c>
      <c r="H17" s="4" t="inlineStr">
        <is>
          <t>1. Chọn mua vé với tổng tiền 2,000,000đ.
2. Nhập mã voucher GIAM20.
3. Bấm Áp dụng và Xác nhận đặt vé.
4. Kiểm tra discount_amount và final_amount.</t>
        </is>
      </c>
      <c r="I17" s="4" t="inlineStr">
        <is>
          <t>discount_amount được giới hạn tối đa là 150,000đ, final_amount = 1,850,000đ.</t>
        </is>
      </c>
      <c r="J17" s="4" t="inlineStr">
        <is>
          <t>discount_amount = 400,000đ (20% của 2tr), final_amount = 1,600,000đ.</t>
        </is>
      </c>
      <c r="K17" s="4" t="inlineStr">
        <is>
          <t>evidence/seed02_voucher_cap_bypass.png</t>
        </is>
      </c>
      <c r="L17" s="4" t="inlineStr">
        <is>
          <t>app/routers/bookings.py</t>
        </is>
      </c>
      <c r="M17" s="4" t="inlineStr">
        <is>
          <t>Lỗi tính toán logic chiết khấu</t>
        </is>
      </c>
    </row>
    <row r="18" ht="59" customHeight="1">
      <c r="A18" s="3" t="inlineStr">
        <is>
          <t>SEED-03</t>
        </is>
      </c>
      <c r="B18" s="3" t="inlineStr">
        <is>
          <t>Functional</t>
        </is>
      </c>
      <c r="C18" s="3" t="inlineStr">
        <is>
          <t>Major</t>
        </is>
      </c>
      <c r="D18" s="3" t="inlineStr">
        <is>
          <t>FR-09 / FLOW-04</t>
        </is>
      </c>
      <c r="E18" s="4" t="inlineStr">
        <is>
          <t>API POST /api/bookings/{ticket_id}/cancel</t>
        </is>
      </c>
      <c r="F18" s="4" t="inlineStr">
        <is>
          <t>FR-09, BR-05, Use Case 04: Từ chối hủy vé trước sự kiện dưới 24 giờ</t>
        </is>
      </c>
      <c r="G18" s="4" t="inlineStr">
        <is>
          <t>Cho phép hủy vé sát giờ diễn ra sự kiện: Khi sự kiện chỉ còn 5 giờ nữa là bắt đầu (&lt; 24h), hệ thống vẫn chấp nhận hủy vé và hoàn lại 90% tiền.</t>
        </is>
      </c>
      <c r="H18" s="4" t="inlineStr">
        <is>
          <t>1. Đăng nhập tài khoản sở hữu vé của Sự kiện 4 (diễn ra sau 5 giờ).
2. Gửi request POST /api/bookings/{ticket_id}/cancel.
3. Quan sát kết quả phản hồi.</t>
        </is>
      </c>
      <c r="I18" s="4" t="inlineStr">
        <is>
          <t>Trả về HTTP 400 'Không thể hủy vé trước sự kiện dưới 24 giờ', vé giữ nguyên trạng thái CONFIRMED.</t>
        </is>
      </c>
      <c r="J18" s="4" t="inlineStr">
        <is>
          <t>Trả về HTTP 200 'Hủy vé thành công. Hoàn lại 180,000 VNĐ', vé chuyển sang CANCELLED.</t>
        </is>
      </c>
      <c r="K18" s="4" t="inlineStr">
        <is>
          <t>evidence/seed03_cancel_ticket_late.png</t>
        </is>
      </c>
      <c r="L18" s="4" t="inlineStr">
        <is>
          <t>app/routers/bookings.py</t>
        </is>
      </c>
      <c r="M18" s="4" t="inlineStr">
        <is>
          <t>Vi phạm điều kiện biên thời gian hoàn hủy</t>
        </is>
      </c>
    </row>
    <row r="19" ht="59" customHeight="1">
      <c r="A19" s="3" t="inlineStr">
        <is>
          <t>SEED-04</t>
        </is>
      </c>
      <c r="B19" s="3" t="inlineStr">
        <is>
          <t>Functional</t>
        </is>
      </c>
      <c r="C19" s="3" t="inlineStr">
        <is>
          <t>Minor</t>
        </is>
      </c>
      <c r="D19" s="3" t="inlineStr">
        <is>
          <t>FR-06 / FLOW-01</t>
        </is>
      </c>
      <c r="E19" s="4" t="inlineStr">
        <is>
          <t>UI Form Đặt vé &amp; API POST /api/bookings</t>
        </is>
      </c>
      <c r="F19" s="4" t="inlineStr">
        <is>
          <t>FR-06, BR-01, SRS Mục 8: Số lượng vé mỗi đơn phải từ 1 đến 5 vé</t>
        </is>
      </c>
      <c r="G19" s="4" t="inlineStr">
        <is>
          <t>Cho phép đặt số lượng 0 vé: Hệ thống chỉ chặn số âm và &gt; 5, bỏ sót trường hợp quantity = 0, tạo ra đơn hàng rỗng 0 vé với giá 0đ.</t>
        </is>
      </c>
      <c r="H19" s="4" t="inlineStr">
        <is>
          <t>1. Gửi request POST /api/bookings với quantity = 0.
2. Quan sát kết quả tạo đơn hàng.</t>
        </is>
      </c>
      <c r="I19" s="4" t="inlineStr">
        <is>
          <t>Trả về HTTP 400 'Số lượng vé mỗi đơn hàng phải từ 1 đến 5 vé'.</t>
        </is>
      </c>
      <c r="J19" s="4" t="inlineStr">
        <is>
          <t>Trả về HTTP 201 Created, tạo order với final_amount = 0 và danh sách 0 vé.</t>
        </is>
      </c>
      <c r="K19" s="4" t="inlineStr">
        <is>
          <t>evidence/seed04_zero_ticket_booking.png</t>
        </is>
      </c>
      <c r="L19" s="4" t="inlineStr">
        <is>
          <t>app/routers/bookings.py</t>
        </is>
      </c>
      <c r="M19" s="4" t="inlineStr">
        <is>
          <t>Lỗi kiểm tra giá trị biên (BVA)</t>
        </is>
      </c>
    </row>
    <row r="20" ht="63.35" customHeight="1">
      <c r="A20" s="3" t="inlineStr">
        <is>
          <t>SEED-05</t>
        </is>
      </c>
      <c r="B20" s="3" t="inlineStr">
        <is>
          <t>Functional</t>
        </is>
      </c>
      <c r="C20" s="3" t="inlineStr">
        <is>
          <t>Minor</t>
        </is>
      </c>
      <c r="D20" s="3" t="inlineStr">
        <is>
          <t>FR-12 / FLOW-03</t>
        </is>
      </c>
      <c r="E20" s="4" t="inlineStr">
        <is>
          <t>API POST /api/check-in</t>
        </is>
      </c>
      <c r="F20" s="4" t="inlineStr">
        <is>
          <t>FR-12, BR-04: Vé đã CANCELLED là trạng thái cuối, không được check-in</t>
        </is>
      </c>
      <c r="G20" s="4" t="inlineStr">
        <is>
          <t>Cho phép check-in vé đã bị hủy: Nhân viên soát vé quét mã vé đã bị hủy (TICK-2026-CANCEL03), hệ thống vẫn chuyển sang CHECKED_IN và báo hợp lệ.</t>
        </is>
      </c>
      <c r="H20" s="4" t="inlineStr">
        <is>
          <t>1. Lấy mã vé đã bị hủy TICK-2026-CANCEL03.
2. Gửi request POST /api/check-in với ticket_code đó.
3. Quan sát kết quả xác thực.</t>
        </is>
      </c>
      <c r="I20" s="4" t="inlineStr">
        <is>
          <t>Trả về HTTP 400 Bad Request 'VÉ ĐÃ BỊ HỦY HOÀN TIỀN'.</t>
        </is>
      </c>
      <c r="J20" s="4" t="inlineStr">
        <is>
          <t>Trả về HTTP 200 'VÉ HỢP LỆ. Chào mừng quý khách!', vé đổi sang CHECKED_IN.</t>
        </is>
      </c>
      <c r="K20" s="4" t="inlineStr">
        <is>
          <t>evidence/seed05_checkin_cancelled_ticket.png</t>
        </is>
      </c>
      <c r="L20" s="4" t="inlineStr">
        <is>
          <t>app/routers/checkin.py</t>
        </is>
      </c>
      <c r="M20" s="4" t="inlineStr">
        <is>
          <t>Lỗi vi phạm chuyển đổi máy trạng thái (State Transition)</t>
        </is>
      </c>
    </row>
    <row r="21" ht="52" customHeight="1">
      <c r="A21" s="3" t="inlineStr">
        <is>
          <t>SEED-06</t>
        </is>
      </c>
      <c r="B21" s="3" t="inlineStr">
        <is>
          <t>Visual</t>
        </is>
      </c>
      <c r="C21" s="3" t="inlineStr">
        <is>
          <t>Minor</t>
        </is>
      </c>
      <c r="D21" s="3" t="inlineStr">
        <is>
          <t>FR-05 / FLOW-01</t>
        </is>
      </c>
      <c r="E21" s="4" t="inlineStr">
        <is>
          <t>Màn hình Chi tiết sự kiện (/events/1)</t>
        </is>
      </c>
      <c r="F21" s="4" t="inlineStr">
        <is>
          <t>FR-05, SRS Mục 8: Hạng vé hết chỗ phải vô hiệu hóa nút đặt vé</t>
        </is>
      </c>
      <c r="G21" s="4" t="inlineStr">
        <is>
          <t>Hạng vé đã hết chỗ nhưng nút chọn và radio button vẫn sáng màu Indigo và bấm chọn được, không bị vô hiệu hóa (disabled).</t>
        </is>
      </c>
      <c r="H21" s="4" t="inlineStr">
        <is>
          <t>1. Truy cập /events/1.
2. Quan sát hạng vé 'Vé Early Bird (Giờ vàng)' có 0 vé còn lại.
3. Nhấp chuột vào hàng vé này.</t>
        </is>
      </c>
      <c r="I21" s="4" t="inlineStr">
        <is>
          <t>Hạng vé bị làm mờ (opacity-50), radio button bị disabled, con trỏ chuột dạng not-allowed.</t>
        </is>
      </c>
      <c r="J21" s="4" t="inlineStr">
        <is>
          <t>Vẫn có thể click chọn radio button, viền đổi màu xanh Indigo như vé còn chỗ bình thường.</t>
        </is>
      </c>
      <c r="K21" s="4" t="inlineStr">
        <is>
          <t>evidence/seed06_soldout_button_enabled.png</t>
        </is>
      </c>
      <c r="L21" s="4" t="inlineStr">
        <is>
          <t>templates/event_detail.html</t>
        </is>
      </c>
      <c r="M21" s="4" t="inlineStr">
        <is>
          <t>Lỗi hiển thị trạng thái giao diện UI</t>
        </is>
      </c>
    </row>
    <row r="22" ht="65" customHeight="1">
      <c r="A22" s="3" t="inlineStr">
        <is>
          <t>SEED-07</t>
        </is>
      </c>
      <c r="B22" s="3" t="inlineStr">
        <is>
          <t>Visual</t>
        </is>
      </c>
      <c r="C22" s="3" t="inlineStr">
        <is>
          <t>Minor</t>
        </is>
      </c>
      <c r="D22" s="3" t="inlineStr">
        <is>
          <t>FR-04 / FLOW-01</t>
        </is>
      </c>
      <c r="E22" s="4" t="inlineStr">
        <is>
          <t>Trang chủ danh sách sự kiện (/)</t>
        </is>
      </c>
      <c r="F22" s="4" t="inlineStr">
        <is>
          <t>FR-04, NFR-07: Hiển thị thẻ sự kiện cân đối, đồng đều layout</t>
        </is>
      </c>
      <c r="G22" s="4" t="inlineStr">
        <is>
          <t>Tiêu đề sự kiện dài không có line-clamp làm vỡ khung: Thẻ Sự kiện 3 có tiêu đề dài 150 ký tự bị phình to chiều cao, làm lệch lưới grid của hàng hiển thị.</t>
        </is>
      </c>
      <c r="H22" s="4" t="inlineStr">
        <is>
          <t>1. Truy cập trang chủ /.
2. Cuộn xuống xem thẻ của Sự kiện 3 (Testing Masterclass).
3. So sánh chiều cao thẻ này với thẻ Sự kiện 1 và 2 bên cạnh.</t>
        </is>
      </c>
      <c r="I22" s="4" t="inlineStr">
        <is>
          <t>Tiêu đề bị cắt gọn sau 2 dòng (line-clamp-2 kèm dấu ...), chiều cao các thẻ trên cùng hàng bằng nhau.</t>
        </is>
      </c>
      <c r="J22" s="4" t="inlineStr">
        <is>
          <t>Tiêu đề hiển thị trọn vẹn 5 dòng làm thẻ cao hơn 100px so với các thẻ khác, phá vỡ bố cục thẳng hàng.</t>
        </is>
      </c>
      <c r="K22" s="4" t="inlineStr">
        <is>
          <t>evidence/seed07_grid_card_overflow.png</t>
        </is>
      </c>
      <c r="L22" s="4" t="inlineStr">
        <is>
          <t>templates/index.html</t>
        </is>
      </c>
      <c r="M22" s="4" t="inlineStr">
        <is>
          <t>Lỗi layout vỡ dòng trên màn hình desktop</t>
        </is>
      </c>
    </row>
    <row r="23" ht="52" customHeight="1">
      <c r="A23" s="3" t="inlineStr">
        <is>
          <t>SEED-08</t>
        </is>
      </c>
      <c r="B23" s="3" t="inlineStr">
        <is>
          <t>Visual</t>
        </is>
      </c>
      <c r="C23" s="3" t="inlineStr">
        <is>
          <t>Trivial</t>
        </is>
      </c>
      <c r="D23" s="3" t="inlineStr">
        <is>
          <t>FR-08 / FLOW-01</t>
        </is>
      </c>
      <c r="E23" s="4" t="inlineStr">
        <is>
          <t>Trang Xác nhận đặt vé (/booking-success)</t>
        </is>
      </c>
      <c r="F23" s="4" t="inlineStr">
        <is>
          <t>FR-08, SRS Mục 8: Định dạng tiền tệ chuẩn VNĐ có dấu phân cách hàng nghìn</t>
        </is>
      </c>
      <c r="G23" s="4" t="inlineStr">
        <is>
          <t>Lệch căn lề và thiếu định dạng phân cách hàng nghìn: Dòng 'Tổng thực thu' hiển thị '1000000 VND' không có dấu phẩy và bị căn trái lệch khỏi cột số tiền.</t>
        </is>
      </c>
      <c r="H23" s="4" t="inlineStr">
        <is>
          <t>1. Đặt vé thành công để vào trang /booking-success.
2. Quan sát bảng tóm tắt chi tiết thanh toán ở cuối hóa đơn.</t>
        </is>
      </c>
      <c r="I23" s="4" t="inlineStr">
        <is>
          <t>Số tiền hiển thị '1,000,000 VNĐ', căn lề phải thẳng hàng với các dòng giá gốc phía trên.</t>
        </is>
      </c>
      <c r="J23" s="4" t="inlineStr">
        <is>
          <t>Hiển thị chuỗi '1000000 VND' viết liền, căn lề trái lệch hàng.</t>
        </is>
      </c>
      <c r="K23" s="4" t="inlineStr">
        <is>
          <t>evidence/seed08_unformatted_currency.png</t>
        </is>
      </c>
      <c r="L23" s="4" t="inlineStr">
        <is>
          <t>templates/booking_success.html</t>
        </is>
      </c>
      <c r="M23" s="4" t="inlineStr">
        <is>
          <t>Lỗi định dạng visual typography</t>
        </is>
      </c>
    </row>
    <row r="24" ht="52" customHeight="1">
      <c r="A24" s="3" t="inlineStr">
        <is>
          <t>SEED-09</t>
        </is>
      </c>
      <c r="B24" s="3" t="inlineStr">
        <is>
          <t>Content</t>
        </is>
      </c>
      <c r="C24" s="3" t="inlineStr">
        <is>
          <t>Trivial</t>
        </is>
      </c>
      <c r="D24" s="3" t="inlineStr">
        <is>
          <t>FR-04 / FLOW-01</t>
        </is>
      </c>
      <c r="E24" s="4" t="inlineStr">
        <is>
          <t>Trang chủ danh sách sự kiện (/)</t>
        </is>
      </c>
      <c r="F24" s="4" t="inlineStr">
        <is>
          <t>URD US-03, SRS NFR-08: Thông báo thân thiện chuẩn tiếng Việt có dấu</t>
        </is>
      </c>
      <c r="G24" s="4" t="inlineStr">
        <is>
          <t>Thông báo không tìm thấy kết quả viết không dấu và sai chính tả: 'Khong tim thay su kien nao phu hop. Xin vui long tim kiem lai!'</t>
        </is>
      </c>
      <c r="H24" s="4" t="inlineStr">
        <is>
          <t>1. Nhập từ khóa 'xyz123' vào ô tìm kiếm trên trang chủ.
2. Bấm nút Tìm kiếm.</t>
        </is>
      </c>
      <c r="I24" s="4" t="inlineStr">
        <is>
          <t>Hiển thị tiếng Việt có dấu chuẩn: 'Không tìm thấy sự kiện nào phù hợp. Xin vui lòng tìm kiếm lại!'.</t>
        </is>
      </c>
      <c r="J24" s="4" t="inlineStr">
        <is>
          <t>Hiển thị toàn bộ câu không có dấu tiếng Việt.</t>
        </is>
      </c>
      <c r="K24" s="4" t="inlineStr">
        <is>
          <t>evidence/seed09_unaccented_content.png</t>
        </is>
      </c>
      <c r="L24" s="4" t="inlineStr">
        <is>
          <t>templates/index.html</t>
        </is>
      </c>
      <c r="M24" s="4" t="inlineStr">
        <is>
          <t>Lỗi nội dung / chính tả</t>
        </is>
      </c>
    </row>
    <row r="25" ht="52" customHeight="1">
      <c r="A25" s="3" t="inlineStr">
        <is>
          <t>SEED-10</t>
        </is>
      </c>
      <c r="B25" s="3" t="inlineStr">
        <is>
          <t>Content</t>
        </is>
      </c>
      <c r="C25" s="3" t="inlineStr">
        <is>
          <t>Trivial</t>
        </is>
      </c>
      <c r="D25" s="3" t="inlineStr">
        <is>
          <t>FR-07 / FLOW-01</t>
        </is>
      </c>
      <c r="E25" s="4" t="inlineStr">
        <is>
          <t>Màn hình Đặt vé (/events/{id})</t>
        </is>
      </c>
      <c r="F25" s="4" t="inlineStr">
        <is>
          <t>FR-07, SRS Mục 8: Thông báo mã voucher không hợp lệ</t>
        </is>
      </c>
      <c r="G25" s="4" t="inlineStr">
        <is>
          <t>Báo sai nội dung thông báo lỗi: Khi nhập mã voucher sai/hết hạn, hệ thống lại hiển thị thông báo: 'Mật khẩu tài khoản không đúng, vui lòng thử lại'.</t>
        </is>
      </c>
      <c r="H25" s="4" t="inlineStr">
        <is>
          <t>1. Vào trang chi tiết sự kiện /events/1.
2. Nhập mã voucher sai 'SAI123' vào ô mã giảm giá.
3. Bấm nút Áp dụng.</t>
        </is>
      </c>
      <c r="I25" s="4" t="inlineStr">
        <is>
          <t>Hiển thị: 'Mã giảm giá không tồn tại hoặc đã hết hạn.'</t>
        </is>
      </c>
      <c r="J25" s="4" t="inlineStr">
        <is>
          <t>Hiển thị thông báo copy-paste sai: 'Mật khẩu tài khoản không đúng, vui lòng thử lại'.</t>
        </is>
      </c>
      <c r="K25" s="4" t="inlineStr">
        <is>
          <t>evidence/seed10_wrong_error_copy.png</t>
        </is>
      </c>
      <c r="L25" s="4" t="inlineStr">
        <is>
          <t>templates/event_detail.html</t>
        </is>
      </c>
      <c r="M25" s="4" t="inlineStr">
        <is>
          <t>Lỗi nội dung string nhầm lẫn</t>
        </is>
      </c>
    </row>
    <row r="26" ht="65" customHeight="1">
      <c r="A26" s="3" t="inlineStr">
        <is>
          <t>SEED-11</t>
        </is>
      </c>
      <c r="B26" s="3" t="inlineStr">
        <is>
          <t>Content</t>
        </is>
      </c>
      <c r="C26" s="3" t="inlineStr">
        <is>
          <t>Trivial</t>
        </is>
      </c>
      <c r="D26" s="3" t="inlineStr">
        <is>
          <t>FR-05 / FLOW-01</t>
        </is>
      </c>
      <c r="E26" s="4" t="inlineStr">
        <is>
          <t>Trang Chi tiết sự kiện (/events/{id})</t>
        </is>
      </c>
      <c r="F26" s="4" t="inlineStr">
        <is>
          <t>FR-05, SRS BR-05: Hiển thị chính sách hoàn hủy vé chính xác</t>
        </is>
      </c>
      <c r="G26" s="4" t="inlineStr">
        <is>
          <t>Nhãn chính sách hoàn hủy vé hiển thị mâu thuẫn với SRS: Banner màu vàng hiển thị 'Chính sách: Hoàn 100% nếu hủy trước 1 ngày' (SRS quy định chỉ hoàn 70% từ 24-48h).</t>
        </is>
      </c>
      <c r="H26" s="4" t="inlineStr">
        <is>
          <t>1. Truy cập /events/1.
2. Đọc khung thông báo màu vàng trong phần giới thiệu sự kiện.</t>
        </is>
      </c>
      <c r="I26" s="4" t="inlineStr">
        <is>
          <t>Ghi đúng chính sách: Hoàn 90% (trước 48h), hoàn 70% (24-48h), không hoàn tiền (&lt;24h).</t>
        </is>
      </c>
      <c r="J26" s="4" t="inlineStr">
        <is>
          <t>Ghi: 'Chính sách: Hoàn 100% nếu hủy trước 1 ngày'.</t>
        </is>
      </c>
      <c r="K26" s="4" t="inlineStr">
        <is>
          <t>evidence/seed11_policy_contradiction.png</t>
        </is>
      </c>
      <c r="L26" s="4" t="inlineStr">
        <is>
          <t>templates/event_detail.html</t>
        </is>
      </c>
      <c r="M26" s="4" t="inlineStr">
        <is>
          <t>Lỗi nội dung thông tin người dùng</t>
        </is>
      </c>
    </row>
    <row r="27" ht="65" customHeight="1">
      <c r="A27" s="3" t="inlineStr">
        <is>
          <t>SEED-12</t>
        </is>
      </c>
      <c r="B27" s="3" t="inlineStr">
        <is>
          <t>Performance</t>
        </is>
      </c>
      <c r="C27" s="3" t="inlineStr">
        <is>
          <t>Major</t>
        </is>
      </c>
      <c r="D27" s="3" t="inlineStr">
        <is>
          <t>FR-04 / FLOW-01</t>
        </is>
      </c>
      <c r="E27" s="4" t="inlineStr">
        <is>
          <t>API GET /api/events</t>
        </is>
      </c>
      <c r="F27" s="4" t="inlineStr">
        <is>
          <t>NFR-01: Thời gian phản hồi API tra cứu danh sách &lt;= 500ms ở mức 50 CCU</t>
        </is>
      </c>
      <c r="G27" s="4" t="inlineStr">
        <is>
          <t>Blocking I/O delay giả lập N+1 Query: Trong endpoint GET /api/events, vòng lặp duyệt qua từng sự kiện bị chèn delay 350ms, khiến thời gian phản hồi vọt lên &gt; 1.7 giây khi tải 5 sự kiện.</t>
        </is>
      </c>
      <c r="H27" s="4" t="inlineStr">
        <is>
          <t>1. Gửi request GET /api/events?limit=5.
2. Đo thời gian phản hồi (Response Time) trong Postman hoặc JMeter.</t>
        </is>
      </c>
      <c r="I27" s="4" t="inlineStr">
        <is>
          <t>Thời gian phản hồi &lt;= 300ms đối với dữ liệu 5 sự kiện.</t>
        </is>
      </c>
      <c r="J27" s="4" t="inlineStr">
        <is>
          <t>Thời gian phản hồi &gt; 1,750ms (chậm gấp 5 lần chuẩn cho phép).</t>
        </is>
      </c>
      <c r="K27" s="4" t="inlineStr">
        <is>
          <t>evidence/seed12_slow_api_response_jmeter.png</t>
        </is>
      </c>
      <c r="L27" s="4" t="inlineStr">
        <is>
          <t>app/routers/events.py</t>
        </is>
      </c>
      <c r="M27" s="4" t="inlineStr">
        <is>
          <t>Lỗi hiệu năng N+1 Database Bottleneck</t>
        </is>
      </c>
    </row>
    <row r="28" ht="52" customHeight="1">
      <c r="A28" s="3" t="inlineStr">
        <is>
          <t>SEED-13</t>
        </is>
      </c>
      <c r="B28" s="3" t="inlineStr">
        <is>
          <t>Performance</t>
        </is>
      </c>
      <c r="C28" s="3" t="inlineStr">
        <is>
          <t>Minor</t>
        </is>
      </c>
      <c r="D28" s="3" t="inlineStr">
        <is>
          <t>FR-05 / FLOW-01</t>
        </is>
      </c>
      <c r="E28" s="4" t="inlineStr">
        <is>
          <t>Trang Chi tiết sự kiện (/events/1)</t>
        </is>
      </c>
      <c r="F28" s="4" t="inlineStr">
        <is>
          <t>NFR-01: Tải tài nguyên trang web nhanh chóng, tối ưu dung lượng</t>
        </is>
      </c>
      <c r="G28" s="4" t="inlineStr">
        <is>
          <t>Tải ảnh banner mock dung lượng siêu lớn (12MB) không qua nén, làm tăng đáng kể thời gian tải trang và tiêu tốn băng thông khi chạy test tự động Puppeteer.</t>
        </is>
      </c>
      <c r="H28" s="4" t="inlineStr">
        <is>
          <t>1. Mở DevTools Network Tab và truy cập /events/1.
2. Quan sát dung lượng ảnh banner tải về.</t>
        </is>
      </c>
      <c r="I28" s="4" t="inlineStr">
        <is>
          <t>Ảnh được tối ưu webp/jpeg dung lượng &lt; 300KB.</t>
        </is>
      </c>
      <c r="J28" s="4" t="inlineStr">
        <is>
          <t>Tải ảnh gốc 8000x6000px dung lượng &gt; 10MB, tốn 2.5s tải tài nguyên.</t>
        </is>
      </c>
      <c r="K28" s="4" t="inlineStr">
        <is>
          <t>evidence/seed13_heavy_asset_network.png</t>
        </is>
      </c>
      <c r="L28" s="4" t="inlineStr">
        <is>
          <t>app/routers/events.py</t>
        </is>
      </c>
      <c r="M28" s="4" t="inlineStr">
        <is>
          <t>Lỗi hiệu năng tài nguyên front-end</t>
        </is>
      </c>
    </row>
    <row r="29" ht="52" customHeight="1">
      <c r="A29" s="3" t="inlineStr">
        <is>
          <t>SEED-14</t>
        </is>
      </c>
      <c r="B29" s="3" t="inlineStr">
        <is>
          <t>Crash</t>
        </is>
      </c>
      <c r="C29" s="3" t="inlineStr">
        <is>
          <t>Critical</t>
        </is>
      </c>
      <c r="D29" s="3" t="inlineStr">
        <is>
          <t>FR-06 / FLOW-01</t>
        </is>
      </c>
      <c r="E29" s="4" t="inlineStr">
        <is>
          <t>API POST /api/bookings</t>
        </is>
      </c>
      <c r="F29" s="4" t="inlineStr">
        <is>
          <t>SRS Mục 8, NFR-08: Xử lý an toàn chuỗi đầu vào, không phát sinh lỗi 500</t>
        </is>
      </c>
      <c r="G29" s="4" t="inlineStr">
        <is>
          <t>Crash HTTP 500 Unhandled Exception khi voucher_code chứa ký tự đặc biệt: Gửi mã voucher chứa dấu nháy đơn khiến hàm split gây IndexError làm sập 500 máy chủ.</t>
        </is>
      </c>
      <c r="H29" s="4" t="inlineStr">
        <is>
          <t>1. Gửi request POST /api/bookings với body có voucher_code: "TEST'OR'1=1".
2. Quan sát mã trạng thái phản hồi.</t>
        </is>
      </c>
      <c r="I29" s="4" t="inlineStr">
        <is>
          <t>Trả về HTTP 400 Bad Request: 'Mã voucher chứa ký tự không hợp lệ'.</t>
        </is>
      </c>
      <c r="J29" s="4" t="inlineStr">
        <is>
          <t>Server ném ngoại lệ IndexError / 500 Internal Server Error làm gián đoạn request.</t>
        </is>
      </c>
      <c r="K29" s="4" t="inlineStr">
        <is>
          <t>evidence/seed14_crash_500_special_chars.png</t>
        </is>
      </c>
      <c r="L29" s="4" t="inlineStr">
        <is>
          <t>app/routers/bookings.py</t>
        </is>
      </c>
      <c r="M29" s="4" t="inlineStr">
        <is>
          <t>Lỗi Crash sập ứng dụng khi fuzzing input</t>
        </is>
      </c>
    </row>
    <row r="30" ht="52" customHeight="1">
      <c r="A30" s="3" t="inlineStr">
        <is>
          <t>SEED-15</t>
        </is>
      </c>
      <c r="B30" s="3" t="inlineStr">
        <is>
          <t>Crash</t>
        </is>
      </c>
      <c r="C30" s="3" t="inlineStr">
        <is>
          <t>Major</t>
        </is>
      </c>
      <c r="D30" s="3" t="inlineStr">
        <is>
          <t>FR-04 / FLOW-01</t>
        </is>
      </c>
      <c r="E30" s="4" t="inlineStr">
        <is>
          <t>API GET /api/events</t>
        </is>
      </c>
      <c r="F30" s="4" t="inlineStr">
        <is>
          <t>SRS Mục 8: Ràng buộc giá trị tham số phân trang limit &gt;= 1</t>
        </is>
      </c>
      <c r="G30" s="4" t="inlineStr">
        <is>
          <t>Lỗi ZeroDivisionError gây Crash 500 khi truyền limit=0: Phép tính total_pages = total // limit không kiểm tra điều kiện chia cho 0, làm văng lỗi 500.</t>
        </is>
      </c>
      <c r="H30" s="4" t="inlineStr">
        <is>
          <t>1. Gửi request GET /api/events?limit=0.
2. Quan sát kết quả phản hồi của máy chủ.</t>
        </is>
      </c>
      <c r="I30" s="4" t="inlineStr">
        <is>
          <t>Trả về HTTP 422 Unprocessable Entity hoặc HTTP 400 'limit phải lớn hơn hoặc bằng 1'.</t>
        </is>
      </c>
      <c r="J30" s="4" t="inlineStr">
        <is>
          <t>Server ném ZeroDivisionError và trả về HTTP 500 Internal Server Error.</t>
        </is>
      </c>
      <c r="K30" s="4" t="inlineStr">
        <is>
          <t>evidence/seed15_zerodivision_crash.png</t>
        </is>
      </c>
      <c r="L30" s="4" t="inlineStr">
        <is>
          <t>app/routers/events.py</t>
        </is>
      </c>
      <c r="M30" s="4" t="inlineStr">
        <is>
          <t>Lỗi chia cho 0 (Division by Zero Crash)</t>
        </is>
      </c>
    </row>
    <row r="31" ht="15" customHeight="1">
      <c r="A31" s="5" t="n"/>
      <c r="B31" s="5" t="n"/>
      <c r="C31" s="5" t="n"/>
      <c r="D31" s="5" t="n"/>
      <c r="E31" s="5" t="n"/>
      <c r="F31" s="5" t="n"/>
      <c r="G31" s="5" t="n"/>
      <c r="H31" s="5" t="n"/>
      <c r="I31" s="5" t="n"/>
      <c r="J31" s="5" t="n"/>
      <c r="K31" s="5" t="n"/>
      <c r="L31" s="5" t="n"/>
      <c r="M31" s="5" t="n"/>
    </row>
    <row r="32" ht="15" customHeight="1">
      <c r="A32" s="5" t="n"/>
      <c r="B32" s="5" t="n"/>
      <c r="C32" s="5" t="n"/>
      <c r="D32" s="5" t="n"/>
      <c r="E32" s="5" t="n"/>
      <c r="F32" s="5" t="n"/>
      <c r="G32" s="5" t="n"/>
      <c r="H32" s="5" t="n"/>
      <c r="I32" s="5" t="n"/>
      <c r="J32" s="5" t="n"/>
      <c r="K32" s="5" t="n"/>
      <c r="L32" s="5" t="n"/>
      <c r="M32" s="5" t="n"/>
    </row>
    <row r="33" ht="15" customHeight="1">
      <c r="A33" s="5" t="n"/>
      <c r="B33" s="5" t="n"/>
      <c r="C33" s="5" t="n"/>
      <c r="D33" s="5" t="n"/>
      <c r="E33" s="5" t="n"/>
      <c r="F33" s="5" t="n"/>
      <c r="G33" s="5" t="n"/>
      <c r="H33" s="5" t="n"/>
      <c r="I33" s="5" t="n"/>
      <c r="J33" s="5" t="n"/>
      <c r="K33" s="5" t="n"/>
      <c r="L33" s="5" t="n"/>
      <c r="M33" s="5" t="n"/>
    </row>
    <row r="34" ht="15" customHeight="1">
      <c r="A34" s="5" t="n"/>
      <c r="B34" s="5" t="n"/>
      <c r="C34" s="5" t="n"/>
      <c r="D34" s="5" t="n"/>
      <c r="E34" s="5" t="n"/>
      <c r="F34" s="5" t="n"/>
      <c r="G34" s="5" t="n"/>
      <c r="H34" s="5" t="n"/>
      <c r="I34" s="5" t="n"/>
      <c r="J34" s="5" t="n"/>
      <c r="K34" s="5" t="n"/>
      <c r="L34" s="5" t="n"/>
      <c r="M34" s="5" t="n"/>
    </row>
    <row r="35" ht="15" customHeight="1">
      <c r="A35" s="5" t="n"/>
      <c r="B35" s="5" t="n"/>
      <c r="C35" s="5" t="n"/>
      <c r="D35" s="5" t="n"/>
      <c r="E35" s="5" t="n"/>
      <c r="F35" s="5" t="n"/>
      <c r="G35" s="5" t="n"/>
      <c r="H35" s="5" t="n"/>
      <c r="I35" s="5" t="n"/>
      <c r="J35" s="5" t="n"/>
      <c r="K35" s="5" t="n"/>
      <c r="L35" s="5" t="n"/>
      <c r="M35" s="5" t="n"/>
    </row>
    <row r="36" ht="15" customHeight="1">
      <c r="A36" s="5" t="n"/>
      <c r="B36" s="5" t="n"/>
      <c r="C36" s="5" t="n"/>
      <c r="D36" s="5" t="n"/>
      <c r="E36" s="5" t="n"/>
      <c r="F36" s="5" t="n"/>
      <c r="G36" s="5" t="n"/>
      <c r="H36" s="5" t="n"/>
      <c r="I36" s="5" t="n"/>
      <c r="J36" s="5" t="n"/>
      <c r="K36" s="5" t="n"/>
      <c r="L36" s="5" t="n"/>
      <c r="M36" s="5" t="n"/>
    </row>
    <row r="37" ht="15" customHeight="1">
      <c r="A37" s="5" t="n"/>
      <c r="B37" s="5" t="n"/>
      <c r="C37" s="5" t="n"/>
      <c r="D37" s="5" t="n"/>
      <c r="E37" s="5" t="n"/>
      <c r="F37" s="5" t="n"/>
      <c r="G37" s="5" t="n"/>
      <c r="H37" s="5" t="n"/>
      <c r="I37" s="5" t="n"/>
      <c r="J37" s="5" t="n"/>
      <c r="K37" s="5" t="n"/>
      <c r="L37" s="5" t="n"/>
      <c r="M37" s="5" t="n"/>
    </row>
    <row r="38" ht="15" customHeight="1">
      <c r="A38" s="5" t="n"/>
      <c r="B38" s="5" t="n"/>
      <c r="C38" s="5" t="n"/>
      <c r="D38" s="5" t="n"/>
      <c r="E38" s="5" t="n"/>
      <c r="F38" s="5" t="n"/>
      <c r="G38" s="5" t="n"/>
      <c r="H38" s="5" t="n"/>
      <c r="I38" s="5" t="n"/>
      <c r="J38" s="5" t="n"/>
      <c r="K38" s="5" t="n"/>
      <c r="L38" s="5" t="n"/>
      <c r="M38" s="5" t="n"/>
    </row>
    <row r="39" ht="15" customHeight="1">
      <c r="A39" s="5" t="n"/>
      <c r="B39" s="5" t="n"/>
      <c r="C39" s="5" t="n"/>
      <c r="D39" s="5" t="n"/>
      <c r="E39" s="5" t="n"/>
      <c r="F39" s="5" t="n"/>
      <c r="G39" s="5" t="n"/>
      <c r="H39" s="5" t="n"/>
      <c r="I39" s="5" t="n"/>
      <c r="J39" s="5" t="n"/>
      <c r="K39" s="5" t="n"/>
      <c r="L39" s="5" t="n"/>
      <c r="M39" s="5" t="n"/>
    </row>
    <row r="40" ht="15" customHeight="1">
      <c r="A40" s="5" t="n"/>
      <c r="B40" s="5" t="n"/>
      <c r="C40" s="5" t="n"/>
      <c r="D40" s="5" t="n"/>
      <c r="E40" s="5" t="n"/>
      <c r="F40" s="5" t="n"/>
      <c r="G40" s="5" t="n"/>
      <c r="H40" s="5" t="n"/>
      <c r="I40" s="5" t="n"/>
      <c r="J40" s="5" t="n"/>
      <c r="K40" s="5" t="n"/>
      <c r="L40" s="5" t="n"/>
      <c r="M40" s="5" t="n"/>
    </row>
    <row r="41" ht="15" customHeight="1">
      <c r="A41" s="5" t="n"/>
      <c r="B41" s="5" t="n"/>
      <c r="C41" s="5" t="n"/>
      <c r="D41" s="5" t="n"/>
      <c r="E41" s="5" t="n"/>
      <c r="F41" s="5" t="n"/>
      <c r="G41" s="5" t="n"/>
      <c r="H41" s="5" t="n"/>
      <c r="I41" s="5" t="n"/>
      <c r="J41" s="5" t="n"/>
      <c r="K41" s="5" t="n"/>
      <c r="L41" s="5" t="n"/>
      <c r="M41" s="5" t="n"/>
    </row>
    <row r="42" ht="15" customHeight="1">
      <c r="A42" s="5" t="n"/>
      <c r="B42" s="5" t="n"/>
      <c r="C42" s="5" t="n"/>
      <c r="D42" s="5" t="n"/>
      <c r="E42" s="5" t="n"/>
      <c r="F42" s="5" t="n"/>
      <c r="G42" s="5" t="n"/>
      <c r="H42" s="5" t="n"/>
      <c r="I42" s="5" t="n"/>
      <c r="J42" s="5" t="n"/>
      <c r="K42" s="5" t="n"/>
      <c r="L42" s="5" t="n"/>
      <c r="M42" s="5" t="n"/>
    </row>
    <row r="43" ht="15" customHeight="1">
      <c r="A43" s="5" t="n"/>
      <c r="B43" s="5" t="n"/>
      <c r="C43" s="5" t="n"/>
      <c r="D43" s="5" t="n"/>
      <c r="E43" s="5" t="n"/>
      <c r="F43" s="5" t="n"/>
      <c r="G43" s="5" t="n"/>
      <c r="H43" s="5" t="n"/>
      <c r="I43" s="5" t="n"/>
      <c r="J43" s="5" t="n"/>
      <c r="K43" s="5" t="n"/>
      <c r="L43" s="5" t="n"/>
      <c r="M43" s="5" t="n"/>
    </row>
    <row r="44" ht="15" customHeight="1">
      <c r="A44" s="5" t="n"/>
      <c r="B44" s="5" t="n"/>
      <c r="C44" s="5" t="n"/>
      <c r="D44" s="5" t="n"/>
      <c r="E44" s="5" t="n"/>
      <c r="F44" s="5" t="n"/>
      <c r="G44" s="5" t="n"/>
      <c r="H44" s="5" t="n"/>
      <c r="I44" s="5" t="n"/>
      <c r="J44" s="5" t="n"/>
      <c r="K44" s="5" t="n"/>
      <c r="L44" s="5" t="n"/>
      <c r="M44" s="5" t="n"/>
    </row>
    <row r="45" ht="15" customHeight="1">
      <c r="A45" s="5" t="n"/>
      <c r="B45" s="5" t="n"/>
      <c r="C45" s="5" t="n"/>
      <c r="D45" s="5" t="n"/>
      <c r="E45" s="5" t="n"/>
      <c r="F45" s="5" t="n"/>
      <c r="G45" s="5" t="n"/>
      <c r="H45" s="5" t="n"/>
      <c r="I45" s="5" t="n"/>
      <c r="J45" s="5" t="n"/>
      <c r="K45" s="5" t="n"/>
      <c r="L45" s="5" t="n"/>
      <c r="M45" s="5" t="n"/>
    </row>
    <row r="46" ht="15" customHeight="1">
      <c r="A46" s="5" t="n"/>
      <c r="B46" s="5" t="n"/>
      <c r="C46" s="5" t="n"/>
      <c r="D46" s="5" t="n"/>
      <c r="E46" s="5" t="n"/>
      <c r="F46" s="5" t="n"/>
      <c r="G46" s="5" t="n"/>
      <c r="H46" s="5" t="n"/>
      <c r="I46" s="5" t="n"/>
      <c r="J46" s="5" t="n"/>
      <c r="K46" s="5" t="n"/>
      <c r="L46" s="5" t="n"/>
      <c r="M46" s="5" t="n"/>
    </row>
    <row r="47" ht="15" customHeight="1">
      <c r="A47" s="5" t="n"/>
      <c r="B47" s="5" t="n"/>
      <c r="C47" s="5" t="n"/>
      <c r="D47" s="5" t="n"/>
      <c r="E47" s="5" t="n"/>
      <c r="F47" s="5" t="n"/>
      <c r="G47" s="5" t="n"/>
      <c r="H47" s="5" t="n"/>
      <c r="I47" s="5" t="n"/>
      <c r="J47" s="5" t="n"/>
      <c r="K47" s="5" t="n"/>
      <c r="L47" s="5" t="n"/>
      <c r="M47" s="5" t="n"/>
    </row>
    <row r="48" ht="15" customHeight="1">
      <c r="A48" s="5" t="n"/>
      <c r="B48" s="5" t="n"/>
      <c r="C48" s="5" t="n"/>
      <c r="D48" s="5" t="n"/>
      <c r="E48" s="5" t="n"/>
      <c r="F48" s="5" t="n"/>
      <c r="G48" s="5" t="n"/>
      <c r="H48" s="5" t="n"/>
      <c r="I48" s="5" t="n"/>
      <c r="J48" s="5" t="n"/>
      <c r="K48" s="5" t="n"/>
      <c r="L48" s="5" t="n"/>
      <c r="M48" s="5" t="n"/>
    </row>
    <row r="49" ht="15" customHeight="1">
      <c r="A49" s="5" t="n"/>
      <c r="B49" s="5" t="n"/>
      <c r="C49" s="5" t="n"/>
      <c r="D49" s="5" t="n"/>
      <c r="E49" s="5" t="n"/>
      <c r="F49" s="5" t="n"/>
      <c r="G49" s="5" t="n"/>
      <c r="H49" s="5" t="n"/>
      <c r="I49" s="5" t="n"/>
      <c r="J49" s="5" t="n"/>
      <c r="K49" s="5" t="n"/>
      <c r="L49" s="5" t="n"/>
      <c r="M49" s="5" t="n"/>
    </row>
    <row r="50" ht="15" customHeight="1">
      <c r="A50" s="5" t="n"/>
      <c r="B50" s="5" t="n"/>
      <c r="C50" s="5" t="n"/>
      <c r="D50" s="5" t="n"/>
      <c r="E50" s="5" t="n"/>
      <c r="F50" s="5" t="n"/>
      <c r="G50" s="5" t="n"/>
      <c r="H50" s="5" t="n"/>
      <c r="I50" s="5" t="n"/>
      <c r="J50" s="5" t="n"/>
      <c r="K50" s="5" t="n"/>
      <c r="L50" s="5" t="n"/>
      <c r="M50" s="5" t="n"/>
    </row>
    <row r="51" ht="15" customHeight="1">
      <c r="A51" s="5" t="n"/>
      <c r="B51" s="5" t="n"/>
      <c r="C51" s="5" t="n"/>
      <c r="D51" s="5" t="n"/>
      <c r="E51" s="5" t="n"/>
      <c r="F51" s="5" t="n"/>
      <c r="G51" s="5" t="n"/>
      <c r="H51" s="5" t="n"/>
      <c r="I51" s="5" t="n"/>
      <c r="J51" s="5" t="n"/>
      <c r="K51" s="5" t="n"/>
      <c r="L51" s="5" t="n"/>
      <c r="M51" s="5" t="n"/>
    </row>
    <row r="52" ht="15" customHeight="1">
      <c r="A52" s="5" t="n"/>
      <c r="B52" s="5" t="n"/>
      <c r="C52" s="5" t="n"/>
      <c r="D52" s="5" t="n"/>
      <c r="E52" s="5" t="n"/>
      <c r="F52" s="5" t="n"/>
      <c r="G52" s="5" t="n"/>
      <c r="H52" s="5" t="n"/>
      <c r="I52" s="5" t="n"/>
      <c r="J52" s="5" t="n"/>
      <c r="K52" s="5" t="n"/>
      <c r="L52" s="5" t="n"/>
      <c r="M52" s="5" t="n"/>
    </row>
    <row r="53" ht="15" customHeight="1">
      <c r="A53" s="5" t="n"/>
      <c r="B53" s="5" t="n"/>
      <c r="C53" s="5" t="n"/>
      <c r="D53" s="5" t="n"/>
      <c r="E53" s="5" t="n"/>
      <c r="F53" s="5" t="n"/>
      <c r="G53" s="5" t="n"/>
      <c r="H53" s="5" t="n"/>
      <c r="I53" s="5" t="n"/>
      <c r="J53" s="5" t="n"/>
      <c r="K53" s="5" t="n"/>
      <c r="L53" s="5" t="n"/>
      <c r="M53" s="5" t="n"/>
    </row>
    <row r="54" ht="15" customHeight="1">
      <c r="A54" s="5" t="n"/>
      <c r="B54" s="5" t="n"/>
      <c r="C54" s="5" t="n"/>
      <c r="D54" s="5" t="n"/>
      <c r="E54" s="5" t="n"/>
      <c r="F54" s="5" t="n"/>
      <c r="G54" s="5" t="n"/>
      <c r="H54" s="5" t="n"/>
      <c r="I54" s="5" t="n"/>
      <c r="J54" s="5" t="n"/>
      <c r="K54" s="5" t="n"/>
      <c r="L54" s="5" t="n"/>
      <c r="M54" s="5" t="n"/>
    </row>
    <row r="55" ht="15" customHeight="1">
      <c r="A55" s="5" t="n"/>
      <c r="B55" s="5" t="n"/>
      <c r="C55" s="5" t="n"/>
      <c r="D55" s="5" t="n"/>
      <c r="E55" s="5" t="n"/>
      <c r="F55" s="5" t="n"/>
      <c r="G55" s="5" t="n"/>
      <c r="H55" s="5" t="n"/>
      <c r="I55" s="5" t="n"/>
      <c r="J55" s="5" t="n"/>
      <c r="K55" s="5" t="n"/>
      <c r="L55" s="5" t="n"/>
      <c r="M55" s="5" t="n"/>
    </row>
    <row r="56" ht="15" customHeight="1">
      <c r="A56" s="5" t="n"/>
      <c r="B56" s="5" t="n"/>
      <c r="C56" s="5" t="n"/>
      <c r="D56" s="5" t="n"/>
      <c r="E56" s="5" t="n"/>
      <c r="F56" s="5" t="n"/>
      <c r="G56" s="5" t="n"/>
      <c r="H56" s="5" t="n"/>
      <c r="I56" s="5" t="n"/>
      <c r="J56" s="5" t="n"/>
      <c r="K56" s="5" t="n"/>
      <c r="L56" s="5" t="n"/>
      <c r="M56" s="5" t="n"/>
    </row>
  </sheetData>
  <mergeCells count="12">
    <mergeCell ref="A4:B4"/>
    <mergeCell ref="C5:E5"/>
    <mergeCell ref="A7:B7"/>
    <mergeCell ref="A5:B5"/>
    <mergeCell ref="C9:E9"/>
    <mergeCell ref="C8:E8"/>
    <mergeCell ref="C4:E4"/>
    <mergeCell ref="A9:B9"/>
    <mergeCell ref="A6:B6"/>
    <mergeCell ref="A8:B8"/>
    <mergeCell ref="C7:E7"/>
    <mergeCell ref="C6:E6"/>
  </mergeCells>
  <conditionalFormatting sqref="J5:J11">
    <cfRule type="cellIs" priority="2" operator="equal" dxfId="1">
      <formula>"Đạt"</formula>
    </cfRule>
    <cfRule type="cellIs" priority="3" operator="equal" dxfId="0">
      <formula>"Chưa đạt"</formula>
    </cfRule>
  </conditionalFormatting>
  <dataValidations count="2">
    <dataValidation sqref="B16:B500" showDropDown="0" showInputMessage="0" showErrorMessage="0" allowBlank="1" errorTitle="Giá trị không hợp lệ" error="Chọn giá trị trong danh sách" type="list">
      <formula1>"Functional,Visual,Content,Performance,Crash"</formula1>
      <formula2>0</formula2>
    </dataValidation>
    <dataValidation sqref="C16:C500" showDropDown="0" showInputMessage="0" showErrorMessage="0" allowBlank="1" errorTitle="Giá trị không hợp lệ" error="Chọn giá trị trong danh sách" type="list">
      <formula1>"Critical,Major,Minor,Trivial"</formula1>
      <formula2>0</formula2>
    </dataValidation>
  </dataValidation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2026-09-24T06:47:30Z</dcterms:created>
  <dcterms:modified xmlns:dcterms="http://purl.org/dc/terms/" xmlns:xsi="http://www.w3.org/2001/XMLSchema-instance" xsi:type="dcterms:W3CDTF">2026-10-27T04:27:27Z</dcterms:modified>
  <cp:lastModifiedBy>Admin</cp:lastModifiedBy>
  <cp:revision>0</cp:revision>
</cp:coreProperties>
</file>